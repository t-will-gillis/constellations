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ill\Desktop\projects\007_PythonProjects\constellations\"/>
    </mc:Choice>
  </mc:AlternateContent>
  <xr:revisionPtr revIDLastSave="0" documentId="13_ncr:1_{BC308163-22B3-47A9-A261-C5AE0708AD39}" xr6:coauthVersionLast="47" xr6:coauthVersionMax="47" xr10:uidLastSave="{00000000-0000-0000-0000-000000000000}"/>
  <bookViews>
    <workbookView xWindow="0" yWindow="0" windowWidth="23040" windowHeight="12360" xr2:uid="{EC2C0252-BB0C-4515-B5E2-401F51A7E745}"/>
  </bookViews>
  <sheets>
    <sheet name="galactic" sheetId="2" r:id="rId1"/>
    <sheet name="ra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" i="2"/>
  <c r="A361" i="2"/>
  <c r="B361" i="2"/>
  <c r="A362" i="2"/>
  <c r="B362" i="2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B2" i="2"/>
  <c r="A2" i="2"/>
  <c r="F382" i="1"/>
  <c r="F381" i="1"/>
  <c r="F380" i="1"/>
  <c r="F379" i="1"/>
  <c r="F378" i="1"/>
  <c r="J378" i="1" s="1"/>
  <c r="F377" i="1"/>
  <c r="I377" i="1" s="1"/>
  <c r="F376" i="1"/>
  <c r="F375" i="1"/>
  <c r="F374" i="1"/>
  <c r="F373" i="1"/>
  <c r="I373" i="1" s="1"/>
  <c r="F372" i="1"/>
  <c r="F371" i="1"/>
  <c r="F370" i="1"/>
  <c r="J370" i="1" s="1"/>
  <c r="F369" i="1"/>
  <c r="I369" i="1" s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70" i="1"/>
  <c r="I371" i="1"/>
  <c r="I372" i="1"/>
  <c r="I374" i="1"/>
  <c r="I375" i="1"/>
  <c r="I376" i="1"/>
  <c r="I378" i="1"/>
  <c r="I379" i="1"/>
  <c r="I380" i="1"/>
  <c r="I381" i="1"/>
  <c r="I382" i="1"/>
  <c r="J353" i="1"/>
  <c r="F368" i="1"/>
  <c r="F367" i="1"/>
  <c r="F366" i="1"/>
  <c r="F365" i="1"/>
  <c r="F364" i="1"/>
  <c r="F363" i="1"/>
  <c r="J363" i="1" s="1"/>
  <c r="F362" i="1"/>
  <c r="F361" i="1"/>
  <c r="J361" i="1" s="1"/>
  <c r="F360" i="1"/>
  <c r="F359" i="1"/>
  <c r="F358" i="1"/>
  <c r="F357" i="1"/>
  <c r="F356" i="1"/>
  <c r="F355" i="1"/>
  <c r="J355" i="1" s="1"/>
  <c r="F354" i="1"/>
  <c r="I354" i="1" s="1"/>
  <c r="F353" i="1"/>
  <c r="F352" i="1"/>
  <c r="F351" i="1"/>
  <c r="F350" i="1"/>
  <c r="J350" i="1" s="1"/>
  <c r="F349" i="1"/>
  <c r="F348" i="1"/>
  <c r="F347" i="1"/>
  <c r="I347" i="1" s="1"/>
  <c r="F346" i="1"/>
  <c r="I346" i="1" s="1"/>
  <c r="F345" i="1"/>
  <c r="J345" i="1" s="1"/>
  <c r="F344" i="1"/>
  <c r="F343" i="1"/>
  <c r="F342" i="1"/>
  <c r="J342" i="1" s="1"/>
  <c r="F341" i="1"/>
  <c r="F340" i="1"/>
  <c r="F339" i="1"/>
  <c r="I339" i="1" s="1"/>
  <c r="F338" i="1"/>
  <c r="F337" i="1"/>
  <c r="F336" i="1"/>
  <c r="F335" i="1"/>
  <c r="F334" i="1"/>
  <c r="F333" i="1"/>
  <c r="F332" i="1"/>
  <c r="J332" i="1" s="1"/>
  <c r="F331" i="1"/>
  <c r="F330" i="1"/>
  <c r="F329" i="1"/>
  <c r="F328" i="1"/>
  <c r="F327" i="1"/>
  <c r="F326" i="1"/>
  <c r="F325" i="1"/>
  <c r="F324" i="1"/>
  <c r="J324" i="1" s="1"/>
  <c r="F323" i="1"/>
  <c r="F322" i="1"/>
  <c r="F321" i="1"/>
  <c r="F320" i="1"/>
  <c r="F319" i="1"/>
  <c r="F318" i="1"/>
  <c r="J318" i="1" s="1"/>
  <c r="F317" i="1"/>
  <c r="J317" i="1" s="1"/>
  <c r="F316" i="1"/>
  <c r="I316" i="1" s="1"/>
  <c r="F315" i="1"/>
  <c r="F314" i="1"/>
  <c r="F313" i="1"/>
  <c r="F312" i="1"/>
  <c r="F311" i="1"/>
  <c r="F310" i="1"/>
  <c r="J310" i="1" s="1"/>
  <c r="F309" i="1"/>
  <c r="J309" i="1" s="1"/>
  <c r="F295" i="1"/>
  <c r="F296" i="1"/>
  <c r="F297" i="1"/>
  <c r="F298" i="1"/>
  <c r="F299" i="1"/>
  <c r="F300" i="1"/>
  <c r="J300" i="1" s="1"/>
  <c r="F301" i="1"/>
  <c r="J301" i="1" s="1"/>
  <c r="F302" i="1"/>
  <c r="I302" i="1" s="1"/>
  <c r="F303" i="1"/>
  <c r="F304" i="1"/>
  <c r="F305" i="1"/>
  <c r="F306" i="1"/>
  <c r="F307" i="1"/>
  <c r="F308" i="1"/>
  <c r="F294" i="1"/>
  <c r="F278" i="1"/>
  <c r="J278" i="1" s="1"/>
  <c r="F277" i="1"/>
  <c r="F276" i="1"/>
  <c r="J276" i="1" s="1"/>
  <c r="F275" i="1"/>
  <c r="F274" i="1"/>
  <c r="F273" i="1"/>
  <c r="F272" i="1"/>
  <c r="I272" i="1" s="1"/>
  <c r="F271" i="1"/>
  <c r="F270" i="1"/>
  <c r="J270" i="1" s="1"/>
  <c r="F269" i="1"/>
  <c r="F268" i="1"/>
  <c r="J268" i="1" s="1"/>
  <c r="F267" i="1"/>
  <c r="F266" i="1"/>
  <c r="J266" i="1" s="1"/>
  <c r="F265" i="1"/>
  <c r="F264" i="1"/>
  <c r="I264" i="1" s="1"/>
  <c r="F263" i="1"/>
  <c r="J263" i="1" s="1"/>
  <c r="F262" i="1"/>
  <c r="F261" i="1"/>
  <c r="J261" i="1" s="1"/>
  <c r="F260" i="1"/>
  <c r="J260" i="1" s="1"/>
  <c r="F259" i="1"/>
  <c r="F258" i="1"/>
  <c r="F257" i="1"/>
  <c r="J257" i="1" s="1"/>
  <c r="F256" i="1"/>
  <c r="F255" i="1"/>
  <c r="J255" i="1" s="1"/>
  <c r="F254" i="1"/>
  <c r="F253" i="1"/>
  <c r="J253" i="1" s="1"/>
  <c r="F252" i="1"/>
  <c r="J252" i="1" s="1"/>
  <c r="F251" i="1"/>
  <c r="F250" i="1"/>
  <c r="F249" i="1"/>
  <c r="J249" i="1" s="1"/>
  <c r="F248" i="1"/>
  <c r="F247" i="1"/>
  <c r="F246" i="1"/>
  <c r="F245" i="1"/>
  <c r="F244" i="1"/>
  <c r="F243" i="1"/>
  <c r="F242" i="1"/>
  <c r="F241" i="1"/>
  <c r="J241" i="1" s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J228" i="1" s="1"/>
  <c r="F227" i="1"/>
  <c r="J227" i="1" s="1"/>
  <c r="F226" i="1"/>
  <c r="F225" i="1"/>
  <c r="F224" i="1"/>
  <c r="F223" i="1"/>
  <c r="F222" i="1"/>
  <c r="F221" i="1"/>
  <c r="F220" i="1"/>
  <c r="J220" i="1" s="1"/>
  <c r="F219" i="1"/>
  <c r="J219" i="1" s="1"/>
  <c r="F218" i="1"/>
  <c r="F217" i="1"/>
  <c r="J217" i="1" s="1"/>
  <c r="F216" i="1"/>
  <c r="F215" i="1"/>
  <c r="F214" i="1"/>
  <c r="F213" i="1"/>
  <c r="I213" i="1" s="1"/>
  <c r="F212" i="1"/>
  <c r="J212" i="1" s="1"/>
  <c r="F211" i="1"/>
  <c r="F210" i="1"/>
  <c r="F209" i="1"/>
  <c r="I209" i="1" s="1"/>
  <c r="F208" i="1"/>
  <c r="F207" i="1"/>
  <c r="F206" i="1"/>
  <c r="F205" i="1"/>
  <c r="I205" i="1" s="1"/>
  <c r="F204" i="1"/>
  <c r="J204" i="1" s="1"/>
  <c r="F203" i="1"/>
  <c r="I203" i="1" s="1"/>
  <c r="F202" i="1"/>
  <c r="F201" i="1"/>
  <c r="F200" i="1"/>
  <c r="F199" i="1"/>
  <c r="F198" i="1"/>
  <c r="I198" i="1" s="1"/>
  <c r="F197" i="1"/>
  <c r="J197" i="1" s="1"/>
  <c r="F196" i="1"/>
  <c r="F195" i="1"/>
  <c r="I195" i="1" s="1"/>
  <c r="F194" i="1"/>
  <c r="F193" i="1"/>
  <c r="F192" i="1"/>
  <c r="F191" i="1"/>
  <c r="F190" i="1"/>
  <c r="I190" i="1" s="1"/>
  <c r="F189" i="1"/>
  <c r="J189" i="1" s="1"/>
  <c r="F188" i="1"/>
  <c r="F187" i="1"/>
  <c r="J187" i="1" s="1"/>
  <c r="F186" i="1"/>
  <c r="F185" i="1"/>
  <c r="I185" i="1" s="1"/>
  <c r="F184" i="1"/>
  <c r="F183" i="1"/>
  <c r="F182" i="1"/>
  <c r="J182" i="1" s="1"/>
  <c r="F181" i="1"/>
  <c r="F180" i="1"/>
  <c r="F179" i="1"/>
  <c r="J179" i="1" s="1"/>
  <c r="F178" i="1"/>
  <c r="J178" i="1" s="1"/>
  <c r="F177" i="1"/>
  <c r="I177" i="1" s="1"/>
  <c r="F176" i="1"/>
  <c r="F175" i="1"/>
  <c r="F174" i="1"/>
  <c r="I174" i="1" s="1"/>
  <c r="F173" i="1"/>
  <c r="F172" i="1"/>
  <c r="F171" i="1"/>
  <c r="I171" i="1" s="1"/>
  <c r="F170" i="1"/>
  <c r="F169" i="1"/>
  <c r="I169" i="1" s="1"/>
  <c r="F168" i="1"/>
  <c r="I168" i="1" s="1"/>
  <c r="F167" i="1"/>
  <c r="J167" i="1" s="1"/>
  <c r="F166" i="1"/>
  <c r="J166" i="1" s="1"/>
  <c r="F165" i="1"/>
  <c r="F164" i="1"/>
  <c r="F163" i="1"/>
  <c r="I163" i="1" s="1"/>
  <c r="F162" i="1"/>
  <c r="F161" i="1"/>
  <c r="I161" i="1" s="1"/>
  <c r="F160" i="1"/>
  <c r="I160" i="1" s="1"/>
  <c r="F159" i="1"/>
  <c r="J159" i="1" s="1"/>
  <c r="F115" i="1"/>
  <c r="F116" i="1"/>
  <c r="F117" i="1"/>
  <c r="F118" i="1"/>
  <c r="F133" i="1" s="1"/>
  <c r="F119" i="1"/>
  <c r="F134" i="1" s="1"/>
  <c r="F120" i="1"/>
  <c r="J120" i="1" s="1"/>
  <c r="F121" i="1"/>
  <c r="J121" i="1" s="1"/>
  <c r="F122" i="1"/>
  <c r="J122" i="1" s="1"/>
  <c r="F123" i="1"/>
  <c r="F124" i="1"/>
  <c r="F125" i="1"/>
  <c r="F126" i="1"/>
  <c r="F127" i="1"/>
  <c r="F142" i="1" s="1"/>
  <c r="F128" i="1"/>
  <c r="J128" i="1" s="1"/>
  <c r="F129" i="1"/>
  <c r="J129" i="1" s="1"/>
  <c r="F130" i="1"/>
  <c r="J130" i="1" s="1"/>
  <c r="F131" i="1"/>
  <c r="F132" i="1"/>
  <c r="F135" i="1"/>
  <c r="F150" i="1" s="1"/>
  <c r="F137" i="1"/>
  <c r="J137" i="1" s="1"/>
  <c r="F138" i="1"/>
  <c r="J138" i="1" s="1"/>
  <c r="F139" i="1"/>
  <c r="F140" i="1"/>
  <c r="F141" i="1"/>
  <c r="F143" i="1"/>
  <c r="F158" i="1" s="1"/>
  <c r="F145" i="1"/>
  <c r="J145" i="1" s="1"/>
  <c r="F146" i="1"/>
  <c r="J146" i="1" s="1"/>
  <c r="F147" i="1"/>
  <c r="F153" i="1"/>
  <c r="J153" i="1" s="1"/>
  <c r="F154" i="1"/>
  <c r="J154" i="1" s="1"/>
  <c r="F155" i="1"/>
  <c r="F156" i="1"/>
  <c r="F114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3" i="1"/>
  <c r="J124" i="1"/>
  <c r="J125" i="1"/>
  <c r="J126" i="1"/>
  <c r="J127" i="1"/>
  <c r="J131" i="1"/>
  <c r="J132" i="1"/>
  <c r="J135" i="1"/>
  <c r="J139" i="1"/>
  <c r="J140" i="1"/>
  <c r="J141" i="1"/>
  <c r="J143" i="1"/>
  <c r="J147" i="1"/>
  <c r="J155" i="1"/>
  <c r="J156" i="1"/>
  <c r="J161" i="1"/>
  <c r="J162" i="1"/>
  <c r="J163" i="1"/>
  <c r="J164" i="1"/>
  <c r="J165" i="1"/>
  <c r="J169" i="1"/>
  <c r="J170" i="1"/>
  <c r="J171" i="1"/>
  <c r="J172" i="1"/>
  <c r="J173" i="1"/>
  <c r="J175" i="1"/>
  <c r="J176" i="1"/>
  <c r="J177" i="1"/>
  <c r="J180" i="1"/>
  <c r="J181" i="1"/>
  <c r="J183" i="1"/>
  <c r="J184" i="1"/>
  <c r="J185" i="1"/>
  <c r="J186" i="1"/>
  <c r="J188" i="1"/>
  <c r="J190" i="1"/>
  <c r="J191" i="1"/>
  <c r="J192" i="1"/>
  <c r="J193" i="1"/>
  <c r="J194" i="1"/>
  <c r="J195" i="1"/>
  <c r="J196" i="1"/>
  <c r="J198" i="1"/>
  <c r="J199" i="1"/>
  <c r="J200" i="1"/>
  <c r="J201" i="1"/>
  <c r="J202" i="1"/>
  <c r="J203" i="1"/>
  <c r="J205" i="1"/>
  <c r="J206" i="1"/>
  <c r="J207" i="1"/>
  <c r="J208" i="1"/>
  <c r="J210" i="1"/>
  <c r="J211" i="1"/>
  <c r="J213" i="1"/>
  <c r="J214" i="1"/>
  <c r="J215" i="1"/>
  <c r="J216" i="1"/>
  <c r="J218" i="1"/>
  <c r="J221" i="1"/>
  <c r="J222" i="1"/>
  <c r="J223" i="1"/>
  <c r="J224" i="1"/>
  <c r="J225" i="1"/>
  <c r="J226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2" i="1"/>
  <c r="J243" i="1"/>
  <c r="J244" i="1"/>
  <c r="J245" i="1"/>
  <c r="J246" i="1"/>
  <c r="J247" i="1"/>
  <c r="J248" i="1"/>
  <c r="J250" i="1"/>
  <c r="J251" i="1"/>
  <c r="J254" i="1"/>
  <c r="J256" i="1"/>
  <c r="J258" i="1"/>
  <c r="J259" i="1"/>
  <c r="J262" i="1"/>
  <c r="J265" i="1"/>
  <c r="J267" i="1"/>
  <c r="J269" i="1"/>
  <c r="J271" i="1"/>
  <c r="J273" i="1"/>
  <c r="J274" i="1"/>
  <c r="J275" i="1"/>
  <c r="J277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3" i="1"/>
  <c r="J304" i="1"/>
  <c r="J305" i="1"/>
  <c r="J306" i="1"/>
  <c r="J307" i="1"/>
  <c r="J308" i="1"/>
  <c r="J311" i="1"/>
  <c r="J312" i="1"/>
  <c r="J313" i="1"/>
  <c r="J314" i="1"/>
  <c r="J315" i="1"/>
  <c r="J316" i="1"/>
  <c r="J319" i="1"/>
  <c r="J320" i="1"/>
  <c r="J321" i="1"/>
  <c r="J322" i="1"/>
  <c r="J323" i="1"/>
  <c r="J325" i="1"/>
  <c r="J326" i="1"/>
  <c r="J327" i="1"/>
  <c r="J328" i="1"/>
  <c r="J329" i="1"/>
  <c r="J330" i="1"/>
  <c r="J331" i="1"/>
  <c r="J333" i="1"/>
  <c r="J334" i="1"/>
  <c r="J335" i="1"/>
  <c r="J336" i="1"/>
  <c r="J337" i="1"/>
  <c r="J338" i="1"/>
  <c r="J339" i="1"/>
  <c r="J340" i="1"/>
  <c r="J341" i="1"/>
  <c r="J343" i="1"/>
  <c r="J344" i="1"/>
  <c r="J347" i="1"/>
  <c r="J348" i="1"/>
  <c r="J349" i="1"/>
  <c r="J351" i="1"/>
  <c r="J352" i="1"/>
  <c r="J354" i="1"/>
  <c r="J356" i="1"/>
  <c r="J357" i="1"/>
  <c r="J358" i="1"/>
  <c r="J359" i="1"/>
  <c r="J360" i="1"/>
  <c r="J362" i="1"/>
  <c r="J364" i="1"/>
  <c r="J365" i="1"/>
  <c r="J366" i="1"/>
  <c r="J367" i="1"/>
  <c r="J368" i="1"/>
  <c r="J371" i="1"/>
  <c r="J372" i="1"/>
  <c r="J373" i="1"/>
  <c r="J374" i="1"/>
  <c r="J375" i="1"/>
  <c r="J376" i="1"/>
  <c r="J379" i="1"/>
  <c r="J380" i="1"/>
  <c r="J381" i="1"/>
  <c r="J382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2" i="1"/>
  <c r="I123" i="1"/>
  <c r="I124" i="1"/>
  <c r="I125" i="1"/>
  <c r="I126" i="1"/>
  <c r="I127" i="1"/>
  <c r="I128" i="1"/>
  <c r="I130" i="1"/>
  <c r="I131" i="1"/>
  <c r="I132" i="1"/>
  <c r="I135" i="1"/>
  <c r="I138" i="1"/>
  <c r="I139" i="1"/>
  <c r="I140" i="1"/>
  <c r="I141" i="1"/>
  <c r="I143" i="1"/>
  <c r="I146" i="1"/>
  <c r="I147" i="1"/>
  <c r="I154" i="1"/>
  <c r="I155" i="1"/>
  <c r="I156" i="1"/>
  <c r="I159" i="1"/>
  <c r="I162" i="1"/>
  <c r="I164" i="1"/>
  <c r="I165" i="1"/>
  <c r="I167" i="1"/>
  <c r="I170" i="1"/>
  <c r="I172" i="1"/>
  <c r="I173" i="1"/>
  <c r="I175" i="1"/>
  <c r="I176" i="1"/>
  <c r="I178" i="1"/>
  <c r="I179" i="1"/>
  <c r="I180" i="1"/>
  <c r="I181" i="1"/>
  <c r="I183" i="1"/>
  <c r="I184" i="1"/>
  <c r="I186" i="1"/>
  <c r="I187" i="1"/>
  <c r="I188" i="1"/>
  <c r="I189" i="1"/>
  <c r="I191" i="1"/>
  <c r="I192" i="1"/>
  <c r="I193" i="1"/>
  <c r="I194" i="1"/>
  <c r="I196" i="1"/>
  <c r="I197" i="1"/>
  <c r="I199" i="1"/>
  <c r="I200" i="1"/>
  <c r="I201" i="1"/>
  <c r="I202" i="1"/>
  <c r="I204" i="1"/>
  <c r="I206" i="1"/>
  <c r="I207" i="1"/>
  <c r="I208" i="1"/>
  <c r="I210" i="1"/>
  <c r="I211" i="1"/>
  <c r="I212" i="1"/>
  <c r="I214" i="1"/>
  <c r="I215" i="1"/>
  <c r="I216" i="1"/>
  <c r="I217" i="1"/>
  <c r="I218" i="1"/>
  <c r="I220" i="1"/>
  <c r="I221" i="1"/>
  <c r="I222" i="1"/>
  <c r="I223" i="1"/>
  <c r="I224" i="1"/>
  <c r="I225" i="1"/>
  <c r="I226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2" i="1"/>
  <c r="I243" i="1"/>
  <c r="I244" i="1"/>
  <c r="I245" i="1"/>
  <c r="I246" i="1"/>
  <c r="I247" i="1"/>
  <c r="I248" i="1"/>
  <c r="I250" i="1"/>
  <c r="I251" i="1"/>
  <c r="I253" i="1"/>
  <c r="I254" i="1"/>
  <c r="I255" i="1"/>
  <c r="I256" i="1"/>
  <c r="I257" i="1"/>
  <c r="I258" i="1"/>
  <c r="I259" i="1"/>
  <c r="I261" i="1"/>
  <c r="I262" i="1"/>
  <c r="I263" i="1"/>
  <c r="I265" i="1"/>
  <c r="I266" i="1"/>
  <c r="I267" i="1"/>
  <c r="I268" i="1"/>
  <c r="I269" i="1"/>
  <c r="I270" i="1"/>
  <c r="I271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3" i="1"/>
  <c r="I304" i="1"/>
  <c r="I305" i="1"/>
  <c r="I306" i="1"/>
  <c r="I307" i="1"/>
  <c r="I308" i="1"/>
  <c r="I311" i="1"/>
  <c r="I312" i="1"/>
  <c r="I313" i="1"/>
  <c r="I314" i="1"/>
  <c r="I315" i="1"/>
  <c r="I319" i="1"/>
  <c r="I320" i="1"/>
  <c r="I321" i="1"/>
  <c r="I322" i="1"/>
  <c r="I323" i="1"/>
  <c r="I325" i="1"/>
  <c r="I326" i="1"/>
  <c r="I327" i="1"/>
  <c r="I328" i="1"/>
  <c r="I329" i="1"/>
  <c r="I330" i="1"/>
  <c r="I331" i="1"/>
  <c r="I333" i="1"/>
  <c r="I334" i="1"/>
  <c r="I335" i="1"/>
  <c r="I336" i="1"/>
  <c r="I337" i="1"/>
  <c r="I338" i="1"/>
  <c r="I340" i="1"/>
  <c r="I341" i="1"/>
  <c r="I343" i="1"/>
  <c r="I344" i="1"/>
  <c r="I345" i="1"/>
  <c r="I348" i="1"/>
  <c r="I349" i="1"/>
  <c r="I351" i="1"/>
  <c r="I352" i="1"/>
  <c r="I353" i="1"/>
  <c r="N18" i="1"/>
  <c r="J19" i="1"/>
  <c r="I21" i="1"/>
  <c r="I22" i="1"/>
  <c r="I23" i="1"/>
  <c r="I24" i="1"/>
  <c r="I8" i="1"/>
  <c r="J8" i="1"/>
  <c r="N8" i="1"/>
  <c r="I12" i="1"/>
  <c r="J12" i="1"/>
  <c r="N12" i="1"/>
  <c r="I13" i="1"/>
  <c r="J13" i="1"/>
  <c r="N13" i="1"/>
  <c r="I14" i="1"/>
  <c r="J14" i="1"/>
  <c r="N14" i="1"/>
  <c r="I15" i="1"/>
  <c r="J15" i="1"/>
  <c r="N15" i="1"/>
  <c r="I16" i="1"/>
  <c r="J16" i="1"/>
  <c r="N16" i="1"/>
  <c r="I17" i="1"/>
  <c r="J17" i="1"/>
  <c r="N17" i="1"/>
  <c r="N420" i="1"/>
  <c r="N421" i="1"/>
  <c r="N422" i="1"/>
  <c r="N423" i="1"/>
  <c r="N424" i="1"/>
  <c r="N425" i="1"/>
  <c r="N426" i="1"/>
  <c r="N427" i="1"/>
  <c r="N428" i="1"/>
  <c r="N429" i="1"/>
  <c r="I19" i="1"/>
  <c r="I20" i="1"/>
  <c r="J20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N10" i="1"/>
  <c r="J9" i="1"/>
  <c r="J10" i="1"/>
  <c r="J11" i="1"/>
  <c r="J18" i="1"/>
  <c r="N7" i="1"/>
  <c r="N9" i="1"/>
  <c r="N11" i="1"/>
  <c r="I9" i="1"/>
  <c r="I10" i="1"/>
  <c r="I11" i="1"/>
  <c r="I18" i="1"/>
  <c r="I7" i="1"/>
  <c r="I6" i="1"/>
  <c r="J7" i="1"/>
  <c r="J6" i="1"/>
  <c r="S7" i="1" s="1"/>
  <c r="J434" i="1"/>
  <c r="N6" i="1"/>
  <c r="S6" i="1" s="1"/>
  <c r="N367" i="1" s="1"/>
  <c r="J377" i="1" l="1"/>
  <c r="J369" i="1"/>
  <c r="J346" i="1"/>
  <c r="I350" i="1"/>
  <c r="I342" i="1"/>
  <c r="I332" i="1"/>
  <c r="I324" i="1"/>
  <c r="I318" i="1"/>
  <c r="I310" i="1"/>
  <c r="I317" i="1"/>
  <c r="I309" i="1"/>
  <c r="J302" i="1"/>
  <c r="J272" i="1"/>
  <c r="J264" i="1"/>
  <c r="I260" i="1"/>
  <c r="I252" i="1"/>
  <c r="I249" i="1"/>
  <c r="I241" i="1"/>
  <c r="I219" i="1"/>
  <c r="I227" i="1"/>
  <c r="J209" i="1"/>
  <c r="I182" i="1"/>
  <c r="J174" i="1"/>
  <c r="N174" i="1" s="1"/>
  <c r="I166" i="1"/>
  <c r="J168" i="1"/>
  <c r="J160" i="1"/>
  <c r="J142" i="1"/>
  <c r="F157" i="1"/>
  <c r="I142" i="1"/>
  <c r="F149" i="1"/>
  <c r="J134" i="1"/>
  <c r="I134" i="1"/>
  <c r="F148" i="1"/>
  <c r="I133" i="1"/>
  <c r="J133" i="1"/>
  <c r="I150" i="1"/>
  <c r="J150" i="1"/>
  <c r="J158" i="1"/>
  <c r="I158" i="1"/>
  <c r="I153" i="1"/>
  <c r="I145" i="1"/>
  <c r="I137" i="1"/>
  <c r="I129" i="1"/>
  <c r="I121" i="1"/>
  <c r="F152" i="1"/>
  <c r="F144" i="1"/>
  <c r="F136" i="1"/>
  <c r="N262" i="1"/>
  <c r="N198" i="1"/>
  <c r="N134" i="1"/>
  <c r="N102" i="1"/>
  <c r="N70" i="1"/>
  <c r="N38" i="1"/>
  <c r="N338" i="1"/>
  <c r="N306" i="1"/>
  <c r="N274" i="1"/>
  <c r="N242" i="1"/>
  <c r="N210" i="1"/>
  <c r="N178" i="1"/>
  <c r="N146" i="1"/>
  <c r="N114" i="1"/>
  <c r="N82" i="1"/>
  <c r="N50" i="1"/>
  <c r="N351" i="1"/>
  <c r="N326" i="1"/>
  <c r="N294" i="1"/>
  <c r="N230" i="1"/>
  <c r="N166" i="1"/>
  <c r="N354" i="1"/>
  <c r="N350" i="1"/>
  <c r="N318" i="1"/>
  <c r="N286" i="1"/>
  <c r="N254" i="1"/>
  <c r="N222" i="1"/>
  <c r="N190" i="1"/>
  <c r="N158" i="1"/>
  <c r="N126" i="1"/>
  <c r="N94" i="1"/>
  <c r="N62" i="1"/>
  <c r="N30" i="1"/>
  <c r="N378" i="1"/>
  <c r="N234" i="1"/>
  <c r="N42" i="1"/>
  <c r="N353" i="1"/>
  <c r="N342" i="1"/>
  <c r="N310" i="1"/>
  <c r="N278" i="1"/>
  <c r="N246" i="1"/>
  <c r="N214" i="1"/>
  <c r="N182" i="1"/>
  <c r="N150" i="1"/>
  <c r="N118" i="1"/>
  <c r="N86" i="1"/>
  <c r="N54" i="1"/>
  <c r="N370" i="1"/>
  <c r="N74" i="1"/>
  <c r="N322" i="1"/>
  <c r="N290" i="1"/>
  <c r="N258" i="1"/>
  <c r="N226" i="1"/>
  <c r="N194" i="1"/>
  <c r="N162" i="1"/>
  <c r="N130" i="1"/>
  <c r="N98" i="1"/>
  <c r="N66" i="1"/>
  <c r="N34" i="1"/>
  <c r="N19" i="1"/>
  <c r="N355" i="1"/>
  <c r="N363" i="1"/>
  <c r="N371" i="1"/>
  <c r="N379" i="1"/>
  <c r="N356" i="1"/>
  <c r="N364" i="1"/>
  <c r="N372" i="1"/>
  <c r="N380" i="1"/>
  <c r="N27" i="1"/>
  <c r="N31" i="1"/>
  <c r="N35" i="1"/>
  <c r="N39" i="1"/>
  <c r="N43" i="1"/>
  <c r="N47" i="1"/>
  <c r="N51" i="1"/>
  <c r="N55" i="1"/>
  <c r="N59" i="1"/>
  <c r="N63" i="1"/>
  <c r="N67" i="1"/>
  <c r="N71" i="1"/>
  <c r="N75" i="1"/>
  <c r="N79" i="1"/>
  <c r="N83" i="1"/>
  <c r="N87" i="1"/>
  <c r="N91" i="1"/>
  <c r="N95" i="1"/>
  <c r="N99" i="1"/>
  <c r="N103" i="1"/>
  <c r="N107" i="1"/>
  <c r="N111" i="1"/>
  <c r="N115" i="1"/>
  <c r="N119" i="1"/>
  <c r="N123" i="1"/>
  <c r="N127" i="1"/>
  <c r="N131" i="1"/>
  <c r="N135" i="1"/>
  <c r="N139" i="1"/>
  <c r="N143" i="1"/>
  <c r="N147" i="1"/>
  <c r="N155" i="1"/>
  <c r="N159" i="1"/>
  <c r="N163" i="1"/>
  <c r="N167" i="1"/>
  <c r="N171" i="1"/>
  <c r="N175" i="1"/>
  <c r="N179" i="1"/>
  <c r="N183" i="1"/>
  <c r="N187" i="1"/>
  <c r="N191" i="1"/>
  <c r="N195" i="1"/>
  <c r="N199" i="1"/>
  <c r="N203" i="1"/>
  <c r="N207" i="1"/>
  <c r="N211" i="1"/>
  <c r="N215" i="1"/>
  <c r="N219" i="1"/>
  <c r="N223" i="1"/>
  <c r="N227" i="1"/>
  <c r="N231" i="1"/>
  <c r="N235" i="1"/>
  <c r="N239" i="1"/>
  <c r="N243" i="1"/>
  <c r="N247" i="1"/>
  <c r="N251" i="1"/>
  <c r="N255" i="1"/>
  <c r="N259" i="1"/>
  <c r="N263" i="1"/>
  <c r="N267" i="1"/>
  <c r="N271" i="1"/>
  <c r="N275" i="1"/>
  <c r="N279" i="1"/>
  <c r="N283" i="1"/>
  <c r="N287" i="1"/>
  <c r="N291" i="1"/>
  <c r="N295" i="1"/>
  <c r="N299" i="1"/>
  <c r="N303" i="1"/>
  <c r="N307" i="1"/>
  <c r="N311" i="1"/>
  <c r="N315" i="1"/>
  <c r="N319" i="1"/>
  <c r="N323" i="1"/>
  <c r="N327" i="1"/>
  <c r="N331" i="1"/>
  <c r="N335" i="1"/>
  <c r="N339" i="1"/>
  <c r="N343" i="1"/>
  <c r="N347" i="1"/>
  <c r="N357" i="1"/>
  <c r="N365" i="1"/>
  <c r="N373" i="1"/>
  <c r="N381" i="1"/>
  <c r="N358" i="1"/>
  <c r="N366" i="1"/>
  <c r="N374" i="1"/>
  <c r="N382" i="1"/>
  <c r="N28" i="1"/>
  <c r="N32" i="1"/>
  <c r="N36" i="1"/>
  <c r="N40" i="1"/>
  <c r="N44" i="1"/>
  <c r="N48" i="1"/>
  <c r="N52" i="1"/>
  <c r="N56" i="1"/>
  <c r="N60" i="1"/>
  <c r="N64" i="1"/>
  <c r="N68" i="1"/>
  <c r="N72" i="1"/>
  <c r="N76" i="1"/>
  <c r="N80" i="1"/>
  <c r="N84" i="1"/>
  <c r="N88" i="1"/>
  <c r="N92" i="1"/>
  <c r="N96" i="1"/>
  <c r="N100" i="1"/>
  <c r="N104" i="1"/>
  <c r="N108" i="1"/>
  <c r="N112" i="1"/>
  <c r="N116" i="1"/>
  <c r="N120" i="1"/>
  <c r="N124" i="1"/>
  <c r="N128" i="1"/>
  <c r="N132" i="1"/>
  <c r="N140" i="1"/>
  <c r="N156" i="1"/>
  <c r="N160" i="1"/>
  <c r="N164" i="1"/>
  <c r="N168" i="1"/>
  <c r="N172" i="1"/>
  <c r="N176" i="1"/>
  <c r="N180" i="1"/>
  <c r="N184" i="1"/>
  <c r="N188" i="1"/>
  <c r="N192" i="1"/>
  <c r="N196" i="1"/>
  <c r="N200" i="1"/>
  <c r="N204" i="1"/>
  <c r="N208" i="1"/>
  <c r="N212" i="1"/>
  <c r="N216" i="1"/>
  <c r="N220" i="1"/>
  <c r="N224" i="1"/>
  <c r="N228" i="1"/>
  <c r="N232" i="1"/>
  <c r="N236" i="1"/>
  <c r="N240" i="1"/>
  <c r="N244" i="1"/>
  <c r="N248" i="1"/>
  <c r="N252" i="1"/>
  <c r="N256" i="1"/>
  <c r="N260" i="1"/>
  <c r="N264" i="1"/>
  <c r="N268" i="1"/>
  <c r="N272" i="1"/>
  <c r="N276" i="1"/>
  <c r="N280" i="1"/>
  <c r="N284" i="1"/>
  <c r="N288" i="1"/>
  <c r="N292" i="1"/>
  <c r="N296" i="1"/>
  <c r="N300" i="1"/>
  <c r="N304" i="1"/>
  <c r="N308" i="1"/>
  <c r="N312" i="1"/>
  <c r="N316" i="1"/>
  <c r="N320" i="1"/>
  <c r="N324" i="1"/>
  <c r="N328" i="1"/>
  <c r="N332" i="1"/>
  <c r="N336" i="1"/>
  <c r="N340" i="1"/>
  <c r="N344" i="1"/>
  <c r="N348" i="1"/>
  <c r="N360" i="1"/>
  <c r="N368" i="1"/>
  <c r="N376" i="1"/>
  <c r="N25" i="1"/>
  <c r="N29" i="1"/>
  <c r="N33" i="1"/>
  <c r="N37" i="1"/>
  <c r="N41" i="1"/>
  <c r="N45" i="1"/>
  <c r="N49" i="1"/>
  <c r="N53" i="1"/>
  <c r="N57" i="1"/>
  <c r="N61" i="1"/>
  <c r="N65" i="1"/>
  <c r="N69" i="1"/>
  <c r="N73" i="1"/>
  <c r="N77" i="1"/>
  <c r="N81" i="1"/>
  <c r="N85" i="1"/>
  <c r="N89" i="1"/>
  <c r="N93" i="1"/>
  <c r="N9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N153" i="1"/>
  <c r="N161" i="1"/>
  <c r="N165" i="1"/>
  <c r="N169" i="1"/>
  <c r="N173" i="1"/>
  <c r="N177" i="1"/>
  <c r="N181" i="1"/>
  <c r="N185" i="1"/>
  <c r="N189" i="1"/>
  <c r="N193" i="1"/>
  <c r="N197" i="1"/>
  <c r="N201" i="1"/>
  <c r="N205" i="1"/>
  <c r="N209" i="1"/>
  <c r="N213" i="1"/>
  <c r="N217" i="1"/>
  <c r="N221" i="1"/>
  <c r="N225" i="1"/>
  <c r="N229" i="1"/>
  <c r="N233" i="1"/>
  <c r="N237" i="1"/>
  <c r="N241" i="1"/>
  <c r="N245" i="1"/>
  <c r="N249" i="1"/>
  <c r="N253" i="1"/>
  <c r="N257" i="1"/>
  <c r="N261" i="1"/>
  <c r="N265" i="1"/>
  <c r="N269" i="1"/>
  <c r="N273" i="1"/>
  <c r="N277" i="1"/>
  <c r="N281" i="1"/>
  <c r="N285" i="1"/>
  <c r="N289" i="1"/>
  <c r="N293" i="1"/>
  <c r="N297" i="1"/>
  <c r="N301" i="1"/>
  <c r="N305" i="1"/>
  <c r="N309" i="1"/>
  <c r="N313" i="1"/>
  <c r="N317" i="1"/>
  <c r="N321" i="1"/>
  <c r="N325" i="1"/>
  <c r="N329" i="1"/>
  <c r="N333" i="1"/>
  <c r="N337" i="1"/>
  <c r="N341" i="1"/>
  <c r="N345" i="1"/>
  <c r="N349" i="1"/>
  <c r="N361" i="1"/>
  <c r="N369" i="1"/>
  <c r="N377" i="1"/>
  <c r="N330" i="1"/>
  <c r="N266" i="1"/>
  <c r="N170" i="1"/>
  <c r="N352" i="1"/>
  <c r="N334" i="1"/>
  <c r="N302" i="1"/>
  <c r="N270" i="1"/>
  <c r="N238" i="1"/>
  <c r="N206" i="1"/>
  <c r="N142" i="1"/>
  <c r="N110" i="1"/>
  <c r="N78" i="1"/>
  <c r="N46" i="1"/>
  <c r="N362" i="1"/>
  <c r="N298" i="1"/>
  <c r="N202" i="1"/>
  <c r="N138" i="1"/>
  <c r="N106" i="1"/>
  <c r="N375" i="1"/>
  <c r="N346" i="1"/>
  <c r="N314" i="1"/>
  <c r="N282" i="1"/>
  <c r="N250" i="1"/>
  <c r="N218" i="1"/>
  <c r="N186" i="1"/>
  <c r="N154" i="1"/>
  <c r="N122" i="1"/>
  <c r="N90" i="1"/>
  <c r="N58" i="1"/>
  <c r="N26" i="1"/>
  <c r="N359" i="1"/>
  <c r="N24" i="1"/>
  <c r="N23" i="1"/>
  <c r="N22" i="1"/>
  <c r="N20" i="1"/>
  <c r="N21" i="1"/>
  <c r="J136" i="1" l="1"/>
  <c r="N136" i="1" s="1"/>
  <c r="F151" i="1"/>
  <c r="I136" i="1"/>
  <c r="J144" i="1"/>
  <c r="N144" i="1" s="1"/>
  <c r="I144" i="1"/>
  <c r="I149" i="1"/>
  <c r="J149" i="1"/>
  <c r="N149" i="1" s="1"/>
  <c r="J152" i="1"/>
  <c r="N152" i="1" s="1"/>
  <c r="I152" i="1"/>
  <c r="I157" i="1"/>
  <c r="J157" i="1"/>
  <c r="N157" i="1" s="1"/>
  <c r="I148" i="1"/>
  <c r="J148" i="1"/>
  <c r="N148" i="1" s="1"/>
  <c r="I151" i="1" l="1"/>
  <c r="J151" i="1"/>
  <c r="N151" i="1" s="1"/>
</calcChain>
</file>

<file path=xl/sharedStrings.xml><?xml version="1.0" encoding="utf-8"?>
<sst xmlns="http://schemas.openxmlformats.org/spreadsheetml/2006/main" count="83" uniqueCount="81">
  <si>
    <t>RA</t>
  </si>
  <si>
    <t>Dec</t>
  </si>
  <si>
    <t>manually</t>
  </si>
  <si>
    <t>Center</t>
  </si>
  <si>
    <t>Anticenter</t>
  </si>
  <si>
    <t>Galactic</t>
  </si>
  <si>
    <t>North</t>
  </si>
  <si>
    <t>South</t>
  </si>
  <si>
    <t>ℓ (deg)</t>
  </si>
  <si>
    <t>RA (J2000)</t>
  </si>
  <si>
    <t>Dec (J2000)</t>
  </si>
  <si>
    <t>Notes</t>
  </si>
  <si>
    <t>17ᶜ 45ᵐ (266.4°)</t>
  </si>
  <si>
    <t>−28.9°</t>
  </si>
  <si>
    <t>Galactic center (HandWiki)</t>
  </si>
  <si>
    <t>18ᶜ 18ᵐ (274.5°)</t>
  </si>
  <si>
    <t>−15.9°</t>
  </si>
  <si>
    <t>18ᶜ 40ᵐ (279.9°)</t>
  </si>
  <si>
    <t>−2.6°</t>
  </si>
  <si>
    <t>19ᶜ 14ᵐ (288.5°)</t>
  </si>
  <si>
    <t>+10.7°</t>
  </si>
  <si>
    <t>19ᶜ 44ᵐ (296.0°)</t>
  </si>
  <si>
    <t>+23.9°</t>
  </si>
  <si>
    <t>20ᶜ 21ᵐ (305.3°)</t>
  </si>
  <si>
    <t>+36.4°</t>
  </si>
  <si>
    <t>21ᶜ 07ᵐ (316.9°)</t>
  </si>
  <si>
    <t>+48.2°</t>
  </si>
  <si>
    <t>22ᶜ 31ᵐ (337.9°)</t>
  </si>
  <si>
    <t>+58.1°</t>
  </si>
  <si>
    <t>01ᶜ 13ᵐ (18.4°)</t>
  </si>
  <si>
    <t>+62.8°</t>
  </si>
  <si>
    <t>02ᶜ 31ᵐ (37.9°)</t>
  </si>
  <si>
    <t>+60.5°</t>
  </si>
  <si>
    <t>04ᶜ 03ᵐ (61.0°)</t>
  </si>
  <si>
    <t>+52.7°</t>
  </si>
  <si>
    <t>05ᶜ 07ᵐ (76.9°)</t>
  </si>
  <si>
    <t>+41.4°</t>
  </si>
  <si>
    <t>05ᶜ 45ᵐ (86.4°)</t>
  </si>
  <si>
    <t>+28.9°</t>
  </si>
  <si>
    <t>Galactic anticenter (HandWiki)</t>
  </si>
  <si>
    <t>06ᶜ 11ᵐ (92.9°)</t>
  </si>
  <si>
    <t>+16.0°</t>
  </si>
  <si>
    <t>06ᶜ 57ᵐ (104.3°)</t>
  </si>
  <si>
    <t>−4.8°</t>
  </si>
  <si>
    <t>07ᶜ 35ᵐ (113.9°)</t>
  </si>
  <si>
    <t>−21.0°</t>
  </si>
  <si>
    <t>07ᶜ 43ᵐ (115.9°)</t>
  </si>
  <si>
    <t>−23.9°</t>
  </si>
  <si>
    <t>08ᶜ 11ᵐ (122.9°)</t>
  </si>
  <si>
    <t>−38.9°</t>
  </si>
  <si>
    <t>08ᶜ 31ᵐ (127.9°)</t>
  </si>
  <si>
    <t>−47.7°</t>
  </si>
  <si>
    <t>10ᶜ 31ᵐ (157.9°)</t>
  </si>
  <si>
    <t>−67.1°</t>
  </si>
  <si>
    <t>15ᶜ 04ᵐ (226.3°)</t>
  </si>
  <si>
    <t>−67.7°</t>
  </si>
  <si>
    <t>18ᶜ 15ᵐ (273.8°)</t>
  </si>
  <si>
    <t>−17.1°</t>
  </si>
  <si>
    <t>19ᶜ 30ᵐ (292.5°)</t>
  </si>
  <si>
    <t>+2.5°</t>
  </si>
  <si>
    <t>18ᶜ 58ᵐ (284.5°)</t>
  </si>
  <si>
    <t>−10.5°</t>
  </si>
  <si>
    <t>at north</t>
  </si>
  <si>
    <t>Eastward</t>
  </si>
  <si>
    <t>Westward</t>
  </si>
  <si>
    <t>Center-alt</t>
  </si>
  <si>
    <t>delta-p</t>
  </si>
  <si>
    <t>alpha-p</t>
  </si>
  <si>
    <t>calculated</t>
  </si>
  <si>
    <r>
      <t>cos(</t>
    </r>
    <r>
      <rPr>
        <sz val="11"/>
        <color theme="1"/>
        <rFont val="Symbol"/>
        <family val="1"/>
        <charset val="2"/>
      </rPr>
      <t>a - a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)</t>
    </r>
  </si>
  <si>
    <r>
      <t>-</t>
    </r>
    <r>
      <rPr>
        <sz val="11"/>
        <color theme="1"/>
        <rFont val="Symbol"/>
        <family val="1"/>
        <charset val="2"/>
      </rPr>
      <t>(</t>
    </r>
    <r>
      <rPr>
        <sz val="11"/>
        <color theme="1"/>
        <rFont val="Aptos Narrow"/>
        <family val="2"/>
        <scheme val="minor"/>
      </rPr>
      <t xml:space="preserve">cos </t>
    </r>
    <r>
      <rPr>
        <sz val="11"/>
        <color theme="1"/>
        <rFont val="Symbol"/>
        <family val="1"/>
        <charset val="2"/>
      </rPr>
      <t>d</t>
    </r>
    <r>
      <rPr>
        <vertAlign val="subscript"/>
        <sz val="11"/>
        <color theme="1"/>
        <rFont val="Aptos Narrow"/>
        <family val="2"/>
      </rPr>
      <t>p</t>
    </r>
    <r>
      <rPr>
        <sz val="11"/>
        <color theme="1"/>
        <rFont val="Aptos Narrow"/>
        <family val="2"/>
      </rPr>
      <t xml:space="preserve">/sin </t>
    </r>
    <r>
      <rPr>
        <sz val="11"/>
        <color theme="1"/>
        <rFont val="Symbol"/>
        <family val="1"/>
        <charset val="2"/>
      </rPr>
      <t>d</t>
    </r>
    <r>
      <rPr>
        <vertAlign val="subscript"/>
        <sz val="11"/>
        <color theme="1"/>
        <rFont val="Aptos Narrow"/>
        <family val="2"/>
      </rPr>
      <t>p</t>
    </r>
    <r>
      <rPr>
        <sz val="11"/>
        <color theme="1"/>
        <rFont val="Symbol"/>
        <family val="1"/>
        <charset val="2"/>
      </rPr>
      <t>)</t>
    </r>
  </si>
  <si>
    <t>=DEGREES(</t>
  </si>
  <si>
    <t xml:space="preserve">  ATAN(</t>
  </si>
  <si>
    <t xml:space="preserve">    -(COS(RADIANS(27.12825)) / SIN(RADIANS(27.12825)))</t>
  </si>
  <si>
    <t xml:space="preserve">    * COS(RADIANS(A1*15 - 192.85948))</t>
  </si>
  <si>
    <t xml:space="preserve">  )</t>
  </si>
  <si>
    <t>)</t>
  </si>
  <si>
    <t>ra</t>
  </si>
  <si>
    <t>dec</t>
  </si>
  <si>
    <t xml:space="preserve"> </t>
  </si>
  <si>
    <t>ra_deg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</si>
</sst>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18A4-17F1-4601-9ECE-F5301E5BF02F}">
  <dimension ref="A1:D362"/>
  <sheetViews>
    <sheetView tabSelected="1" workbookViewId="0">
      <pane ySplit="1" topLeftCell="A49" activePane="bottomLeft" state="frozen"/>
      <selection pane="bottomLeft" activeCell="I53" sqref="I53"/>
    </sheetView>
  </sheetViews>
  <sheetFormatPr defaultRowHeight="14.4" x14ac:dyDescent="0.3"/>
  <cols>
    <col min="1" max="1" width="7.5546875" bestFit="1" customWidth="1"/>
    <col min="2" max="2" width="8.21875" bestFit="1" customWidth="1"/>
  </cols>
  <sheetData>
    <row r="1" spans="1:4" x14ac:dyDescent="0.3">
      <c r="A1" t="s">
        <v>77</v>
      </c>
      <c r="B1" t="s">
        <v>78</v>
      </c>
      <c r="D1" t="s">
        <v>80</v>
      </c>
    </row>
    <row r="2" spans="1:4" x14ac:dyDescent="0.3">
      <c r="A2" s="12">
        <f>raw!I22</f>
        <v>6.8666666666666671</v>
      </c>
      <c r="B2" s="12">
        <f>raw!N22</f>
        <v>-0.27406158088231786</v>
      </c>
      <c r="D2" s="12">
        <f>15*(INT(A2)+MOD(A2,1))</f>
        <v>103</v>
      </c>
    </row>
    <row r="3" spans="1:4" x14ac:dyDescent="0.3">
      <c r="A3" s="12">
        <f>raw!I23</f>
        <v>6.9333333333333336</v>
      </c>
      <c r="B3" s="12">
        <f>raw!N23</f>
        <v>-2.2245891648668779</v>
      </c>
      <c r="D3" s="12">
        <f t="shared" ref="D3:D66" si="0">15*(INT(A3)+MOD(A3,1))</f>
        <v>104</v>
      </c>
    </row>
    <row r="4" spans="1:4" x14ac:dyDescent="0.3">
      <c r="A4" s="12">
        <f>raw!I24</f>
        <v>7</v>
      </c>
      <c r="B4" s="12">
        <f>raw!N24</f>
        <v>-4.1692990472301199</v>
      </c>
      <c r="D4" s="12">
        <f t="shared" si="0"/>
        <v>105</v>
      </c>
    </row>
    <row r="5" spans="1:4" x14ac:dyDescent="0.3">
      <c r="A5" s="12">
        <f>raw!I25</f>
        <v>7.0666666666666664</v>
      </c>
      <c r="B5" s="12">
        <f>raw!N25</f>
        <v>-6.1031787653556737</v>
      </c>
      <c r="D5" s="12">
        <f t="shared" si="0"/>
        <v>106</v>
      </c>
    </row>
    <row r="6" spans="1:4" x14ac:dyDescent="0.3">
      <c r="A6" s="12">
        <f>raw!I26</f>
        <v>7.1333333333333337</v>
      </c>
      <c r="B6" s="12">
        <f>raw!N26</f>
        <v>-8.0213751426205562</v>
      </c>
      <c r="D6" s="12">
        <f t="shared" si="0"/>
        <v>107</v>
      </c>
    </row>
    <row r="7" spans="1:4" x14ac:dyDescent="0.3">
      <c r="A7" s="12">
        <f>raw!I27</f>
        <v>7.2</v>
      </c>
      <c r="B7" s="12">
        <f>raw!N27</f>
        <v>-9.9192611547155582</v>
      </c>
      <c r="D7" s="12">
        <f t="shared" si="0"/>
        <v>108</v>
      </c>
    </row>
    <row r="8" spans="1:4" x14ac:dyDescent="0.3">
      <c r="A8" s="12">
        <f>raw!I28</f>
        <v>7.2666666666666666</v>
      </c>
      <c r="B8" s="12">
        <f>raw!N28</f>
        <v>-11.792494798563707</v>
      </c>
      <c r="D8" s="12">
        <f t="shared" si="0"/>
        <v>109</v>
      </c>
    </row>
    <row r="9" spans="1:4" x14ac:dyDescent="0.3">
      <c r="A9" s="12">
        <f>raw!I29</f>
        <v>7.333333333333333</v>
      </c>
      <c r="B9" s="12">
        <f>raw!N29</f>
        <v>-13.637068277672684</v>
      </c>
      <c r="D9" s="12">
        <f t="shared" si="0"/>
        <v>110</v>
      </c>
    </row>
    <row r="10" spans="1:4" x14ac:dyDescent="0.3">
      <c r="A10" s="12">
        <f>raw!I30</f>
        <v>7.4</v>
      </c>
      <c r="B10" s="12">
        <f>raw!N30</f>
        <v>-15.449346407706068</v>
      </c>
      <c r="D10" s="12">
        <f t="shared" si="0"/>
        <v>111</v>
      </c>
    </row>
    <row r="11" spans="1:4" x14ac:dyDescent="0.3">
      <c r="A11" s="12">
        <f>raw!I31</f>
        <v>7.4666666666666668</v>
      </c>
      <c r="B11" s="12">
        <f>raw!N31</f>
        <v>-17.226093756235059</v>
      </c>
      <c r="D11" s="12">
        <f t="shared" si="0"/>
        <v>112</v>
      </c>
    </row>
    <row r="12" spans="1:4" x14ac:dyDescent="0.3">
      <c r="A12" s="12">
        <f>raw!I32</f>
        <v>7.5333333333333332</v>
      </c>
      <c r="B12" s="12">
        <f>raw!N32</f>
        <v>-18.964490609558219</v>
      </c>
      <c r="D12" s="12">
        <f t="shared" si="0"/>
        <v>113</v>
      </c>
    </row>
    <row r="13" spans="1:4" x14ac:dyDescent="0.3">
      <c r="A13" s="12">
        <f>raw!I33</f>
        <v>7.6</v>
      </c>
      <c r="B13" s="12">
        <f>raw!N33</f>
        <v>-20.662138365138681</v>
      </c>
      <c r="D13" s="12">
        <f t="shared" si="0"/>
        <v>114</v>
      </c>
    </row>
    <row r="14" spans="1:4" x14ac:dyDescent="0.3">
      <c r="A14" s="12">
        <f>raw!I34</f>
        <v>7.666666666666667</v>
      </c>
      <c r="B14" s="12">
        <f>raw!N34</f>
        <v>-22.317055351641354</v>
      </c>
      <c r="D14" s="12">
        <f t="shared" si="0"/>
        <v>115</v>
      </c>
    </row>
    <row r="15" spans="1:4" x14ac:dyDescent="0.3">
      <c r="A15" s="12">
        <f>raw!I35</f>
        <v>7.7333333333333334</v>
      </c>
      <c r="B15" s="12">
        <f>raw!N35</f>
        <v>-23.927664365034857</v>
      </c>
      <c r="D15" s="12">
        <f t="shared" si="0"/>
        <v>116</v>
      </c>
    </row>
    <row r="16" spans="1:4" x14ac:dyDescent="0.3">
      <c r="A16" s="12">
        <f>raw!I36</f>
        <v>7.8</v>
      </c>
      <c r="B16" s="12">
        <f>raw!N36</f>
        <v>-25.49277337732439</v>
      </c>
      <c r="D16" s="12">
        <f t="shared" si="0"/>
        <v>117</v>
      </c>
    </row>
    <row r="17" spans="1:4" x14ac:dyDescent="0.3">
      <c r="A17" s="12">
        <f>raw!I37</f>
        <v>7.8666666666666671</v>
      </c>
      <c r="B17" s="12">
        <f>raw!N37</f>
        <v>-27.01155093358755</v>
      </c>
      <c r="D17" s="12">
        <f t="shared" si="0"/>
        <v>118</v>
      </c>
    </row>
    <row r="18" spans="1:4" x14ac:dyDescent="0.3">
      <c r="A18" s="12">
        <f>raw!I38</f>
        <v>7.9333333333333336</v>
      </c>
      <c r="B18" s="12">
        <f>raw!N38</f>
        <v>-28.483497719981855</v>
      </c>
      <c r="D18" s="12">
        <f t="shared" si="0"/>
        <v>119</v>
      </c>
    </row>
    <row r="19" spans="1:4" x14ac:dyDescent="0.3">
      <c r="A19" s="12">
        <f>raw!I39</f>
        <v>8</v>
      </c>
      <c r="B19" s="12">
        <f>raw!N39</f>
        <v>-29.908415681233137</v>
      </c>
      <c r="D19" s="12">
        <f t="shared" si="0"/>
        <v>120</v>
      </c>
    </row>
    <row r="20" spans="1:4" x14ac:dyDescent="0.3">
      <c r="A20" s="12">
        <f>raw!I40</f>
        <v>8.0666666666666664</v>
      </c>
      <c r="B20" s="12">
        <f>raw!N40</f>
        <v>-31.286375912753922</v>
      </c>
      <c r="D20" s="12">
        <f t="shared" si="0"/>
        <v>121</v>
      </c>
    </row>
    <row r="21" spans="1:4" x14ac:dyDescent="0.3">
      <c r="A21" s="12">
        <f>raw!I41</f>
        <v>8.1333333333333329</v>
      </c>
      <c r="B21" s="12">
        <f>raw!N41</f>
        <v>-32.617686370575797</v>
      </c>
      <c r="D21" s="12">
        <f t="shared" si="0"/>
        <v>122</v>
      </c>
    </row>
    <row r="22" spans="1:4" x14ac:dyDescent="0.3">
      <c r="A22" s="12">
        <f>raw!I42</f>
        <v>8.1999999999999993</v>
      </c>
      <c r="B22" s="12">
        <f>raw!N42</f>
        <v>-33.902860249385697</v>
      </c>
      <c r="D22" s="12">
        <f t="shared" si="0"/>
        <v>122.99999999999999</v>
      </c>
    </row>
    <row r="23" spans="1:4" x14ac:dyDescent="0.3">
      <c r="A23" s="12">
        <f>raw!I43</f>
        <v>8.2666666666666675</v>
      </c>
      <c r="B23" s="12">
        <f>raw!N43</f>
        <v>-35.142585689093551</v>
      </c>
      <c r="D23" s="12">
        <f t="shared" si="0"/>
        <v>124.00000000000001</v>
      </c>
    </row>
    <row r="24" spans="1:4" x14ac:dyDescent="0.3">
      <c r="A24" s="12">
        <f>raw!I44</f>
        <v>8.3333333333333339</v>
      </c>
      <c r="B24" s="12">
        <f>raw!N44</f>
        <v>-36.337697293601714</v>
      </c>
      <c r="D24" s="12">
        <f t="shared" si="0"/>
        <v>125.00000000000001</v>
      </c>
    </row>
    <row r="25" spans="1:4" x14ac:dyDescent="0.3">
      <c r="A25" s="12">
        <f>raw!I45</f>
        <v>8.4</v>
      </c>
      <c r="B25" s="12">
        <f>raw!N45</f>
        <v>-37.489149788252469</v>
      </c>
      <c r="D25" s="12">
        <f t="shared" si="0"/>
        <v>126</v>
      </c>
    </row>
    <row r="26" spans="1:4" x14ac:dyDescent="0.3">
      <c r="A26" s="12">
        <f>raw!I46</f>
        <v>8.4666666666666668</v>
      </c>
      <c r="B26" s="12">
        <f>raw!N46</f>
        <v>-38.597994008181495</v>
      </c>
      <c r="D26" s="12">
        <f t="shared" si="0"/>
        <v>127</v>
      </c>
    </row>
    <row r="27" spans="1:4" x14ac:dyDescent="0.3">
      <c r="A27" s="12">
        <f>raw!I47</f>
        <v>8.5333333333333332</v>
      </c>
      <c r="B27" s="12">
        <f>raw!N47</f>
        <v>-39.665355299467947</v>
      </c>
      <c r="D27" s="12">
        <f t="shared" si="0"/>
        <v>128</v>
      </c>
    </row>
    <row r="28" spans="1:4" x14ac:dyDescent="0.3">
      <c r="A28" s="12">
        <f>raw!I48</f>
        <v>8.6</v>
      </c>
      <c r="B28" s="12">
        <f>raw!N48</f>
        <v>-40.692414327754541</v>
      </c>
      <c r="D28" s="12">
        <f t="shared" si="0"/>
        <v>129</v>
      </c>
    </row>
    <row r="29" spans="1:4" x14ac:dyDescent="0.3">
      <c r="A29" s="12">
        <f>raw!I49</f>
        <v>8.6666666666666661</v>
      </c>
      <c r="B29" s="12">
        <f>raw!N49</f>
        <v>-41.680390222968214</v>
      </c>
      <c r="D29" s="12">
        <f t="shared" si="0"/>
        <v>130</v>
      </c>
    </row>
    <row r="30" spans="1:4" x14ac:dyDescent="0.3">
      <c r="A30" s="12">
        <f>raw!I50</f>
        <v>8.7333333333333325</v>
      </c>
      <c r="B30" s="12">
        <f>raw!N50</f>
        <v>-42.630525941300995</v>
      </c>
      <c r="D30" s="12">
        <f t="shared" si="0"/>
        <v>131</v>
      </c>
    </row>
    <row r="31" spans="1:4" x14ac:dyDescent="0.3">
      <c r="A31" s="12">
        <f>raw!I51</f>
        <v>8.8000000000000007</v>
      </c>
      <c r="B31" s="12">
        <f>raw!N51</f>
        <v>-43.544075693835822</v>
      </c>
      <c r="D31" s="12">
        <f t="shared" si="0"/>
        <v>132</v>
      </c>
    </row>
    <row r="32" spans="1:4" x14ac:dyDescent="0.3">
      <c r="A32" s="12">
        <f>raw!I52</f>
        <v>8.8666666666666671</v>
      </c>
      <c r="B32" s="12">
        <f>raw!N52</f>
        <v>-44.422294272247512</v>
      </c>
      <c r="D32" s="12">
        <f t="shared" si="0"/>
        <v>133</v>
      </c>
    </row>
    <row r="33" spans="1:4" x14ac:dyDescent="0.3">
      <c r="A33" s="12">
        <f>raw!I53</f>
        <v>8.9333333333333336</v>
      </c>
      <c r="B33" s="12">
        <f>raw!N53</f>
        <v>-45.266428093187557</v>
      </c>
      <c r="D33" s="12">
        <f t="shared" si="0"/>
        <v>134</v>
      </c>
    </row>
    <row r="34" spans="1:4" x14ac:dyDescent="0.3">
      <c r="A34" s="12">
        <f>raw!I54</f>
        <v>9</v>
      </c>
      <c r="B34" s="12">
        <f>raw!N54</f>
        <v>-46.077707781869869</v>
      </c>
      <c r="D34" s="12">
        <f t="shared" si="0"/>
        <v>135</v>
      </c>
    </row>
    <row r="35" spans="1:4" x14ac:dyDescent="0.3">
      <c r="A35" s="12">
        <f>raw!I55</f>
        <v>9.0666666666666664</v>
      </c>
      <c r="B35" s="12">
        <f>raw!N55</f>
        <v>-46.857342119953472</v>
      </c>
      <c r="D35" s="12">
        <f t="shared" si="0"/>
        <v>136</v>
      </c>
    </row>
    <row r="36" spans="1:4" x14ac:dyDescent="0.3">
      <c r="A36" s="12">
        <f>raw!I56</f>
        <v>9.1333333333333329</v>
      </c>
      <c r="B36" s="12">
        <f>raw!N56</f>
        <v>-47.606513191353187</v>
      </c>
      <c r="D36" s="12">
        <f t="shared" si="0"/>
        <v>137</v>
      </c>
    </row>
    <row r="37" spans="1:4" x14ac:dyDescent="0.3">
      <c r="A37" s="12">
        <f>raw!I57</f>
        <v>9.1999999999999993</v>
      </c>
      <c r="B37" s="12">
        <f>raw!N57</f>
        <v>-48.326372570715996</v>
      </c>
      <c r="D37" s="12">
        <f t="shared" si="0"/>
        <v>138</v>
      </c>
    </row>
    <row r="38" spans="1:4" x14ac:dyDescent="0.3">
      <c r="A38" s="12">
        <f>raw!I58</f>
        <v>9.2666666666666675</v>
      </c>
      <c r="B38" s="12">
        <f>raw!N58</f>
        <v>-49.018038411896519</v>
      </c>
      <c r="D38" s="12">
        <f t="shared" si="0"/>
        <v>139</v>
      </c>
    </row>
    <row r="39" spans="1:4" x14ac:dyDescent="0.3">
      <c r="A39" s="12">
        <f>raw!I59</f>
        <v>9.3333333333333339</v>
      </c>
      <c r="B39" s="12">
        <f>raw!N59</f>
        <v>-49.68259330701958</v>
      </c>
      <c r="D39" s="12">
        <f t="shared" si="0"/>
        <v>140</v>
      </c>
    </row>
    <row r="40" spans="1:4" x14ac:dyDescent="0.3">
      <c r="A40" s="12">
        <f>raw!I60</f>
        <v>9.4</v>
      </c>
      <c r="B40" s="12">
        <f>raw!N60</f>
        <v>-50.321082800025302</v>
      </c>
      <c r="D40" s="12">
        <f t="shared" si="0"/>
        <v>141</v>
      </c>
    </row>
    <row r="41" spans="1:4" x14ac:dyDescent="0.3">
      <c r="A41" s="12">
        <f>raw!I61</f>
        <v>9.4666666666666668</v>
      </c>
      <c r="B41" s="12">
        <f>raw!N61</f>
        <v>-50.934514451516549</v>
      </c>
      <c r="D41" s="12">
        <f t="shared" si="0"/>
        <v>142</v>
      </c>
    </row>
    <row r="42" spans="1:4" x14ac:dyDescent="0.3">
      <c r="A42" s="12">
        <f>raw!I62</f>
        <v>9.5333333333333332</v>
      </c>
      <c r="B42" s="12">
        <f>raw!N62</f>
        <v>-51.523857363981293</v>
      </c>
      <c r="D42" s="12">
        <f t="shared" si="0"/>
        <v>143</v>
      </c>
    </row>
    <row r="43" spans="1:4" x14ac:dyDescent="0.3">
      <c r="A43" s="12">
        <f>raw!I63</f>
        <v>9.6</v>
      </c>
      <c r="B43" s="12">
        <f>raw!N63</f>
        <v>-52.090042087859629</v>
      </c>
      <c r="D43" s="12">
        <f t="shared" si="0"/>
        <v>144</v>
      </c>
    </row>
    <row r="44" spans="1:4" x14ac:dyDescent="0.3">
      <c r="A44" s="12">
        <f>raw!I64</f>
        <v>9.6666666666666661</v>
      </c>
      <c r="B44" s="12">
        <f>raw!N64</f>
        <v>-52.633960839369479</v>
      </c>
      <c r="D44" s="12">
        <f t="shared" si="0"/>
        <v>145</v>
      </c>
    </row>
    <row r="45" spans="1:4" x14ac:dyDescent="0.3">
      <c r="A45" s="12">
        <f>raw!I65</f>
        <v>9.7333333333333325</v>
      </c>
      <c r="B45" s="12">
        <f>raw!N65</f>
        <v>-53.156467970458287</v>
      </c>
      <c r="D45" s="12">
        <f t="shared" si="0"/>
        <v>146</v>
      </c>
    </row>
    <row r="46" spans="1:4" x14ac:dyDescent="0.3">
      <c r="A46" s="12">
        <f>raw!I66</f>
        <v>9.8000000000000007</v>
      </c>
      <c r="B46" s="12">
        <f>raw!N66</f>
        <v>-53.658380639716555</v>
      </c>
      <c r="D46" s="12">
        <f t="shared" si="0"/>
        <v>147</v>
      </c>
    </row>
    <row r="47" spans="1:4" x14ac:dyDescent="0.3">
      <c r="A47" s="12">
        <f>raw!I67</f>
        <v>9.8666666666666671</v>
      </c>
      <c r="B47" s="12">
        <f>raw!N67</f>
        <v>-54.140479640609833</v>
      </c>
      <c r="D47" s="12">
        <f t="shared" si="0"/>
        <v>148</v>
      </c>
    </row>
    <row r="48" spans="1:4" x14ac:dyDescent="0.3">
      <c r="A48" s="12">
        <f>raw!I68</f>
        <v>9.9333333333333336</v>
      </c>
      <c r="B48" s="12">
        <f>raw!N68</f>
        <v>-54.603510350013245</v>
      </c>
      <c r="D48" s="12">
        <f t="shared" si="0"/>
        <v>149</v>
      </c>
    </row>
    <row r="49" spans="1:4" x14ac:dyDescent="0.3">
      <c r="A49" s="12">
        <f>raw!I69</f>
        <v>10</v>
      </c>
      <c r="B49" s="12">
        <f>raw!N69</f>
        <v>-55.04818376583566</v>
      </c>
      <c r="D49" s="12">
        <f t="shared" si="0"/>
        <v>150</v>
      </c>
    </row>
    <row r="50" spans="1:4" x14ac:dyDescent="0.3">
      <c r="A50" s="12">
        <f>raw!I70</f>
        <v>10.066666666666666</v>
      </c>
      <c r="B50" s="12">
        <f>raw!N70</f>
        <v>-55.475177607569883</v>
      </c>
      <c r="D50" s="12">
        <f t="shared" si="0"/>
        <v>151</v>
      </c>
    </row>
    <row r="51" spans="1:4" x14ac:dyDescent="0.3">
      <c r="A51" s="12">
        <f>raw!I71</f>
        <v>10.133333333333333</v>
      </c>
      <c r="B51" s="12">
        <f>raw!N71</f>
        <v>-55.885137457976569</v>
      </c>
      <c r="D51" s="12">
        <f t="shared" si="0"/>
        <v>152</v>
      </c>
    </row>
    <row r="52" spans="1:4" x14ac:dyDescent="0.3">
      <c r="A52" s="12">
        <f>raw!I72</f>
        <v>10.199999999999999</v>
      </c>
      <c r="B52" s="12">
        <f>raw!N72</f>
        <v>-56.278677927874483</v>
      </c>
      <c r="D52" s="12">
        <f t="shared" si="0"/>
        <v>153</v>
      </c>
    </row>
    <row r="53" spans="1:4" x14ac:dyDescent="0.3">
      <c r="A53" s="12">
        <f>raw!I73</f>
        <v>10.266666666666667</v>
      </c>
      <c r="B53" s="12">
        <f>raw!N73</f>
        <v>-56.656383829237399</v>
      </c>
      <c r="D53" s="12">
        <f t="shared" si="0"/>
        <v>154</v>
      </c>
    </row>
    <row r="54" spans="1:4" x14ac:dyDescent="0.3">
      <c r="A54" s="12">
        <f>raw!I74</f>
        <v>10.333333333333334</v>
      </c>
      <c r="B54" s="12">
        <f>raw!N74</f>
        <v>-57.0188113445531</v>
      </c>
      <c r="D54" s="12">
        <f t="shared" si="0"/>
        <v>155</v>
      </c>
    </row>
    <row r="55" spans="1:4" x14ac:dyDescent="0.3">
      <c r="A55" s="12">
        <f>raw!I75</f>
        <v>10.4</v>
      </c>
      <c r="B55" s="12">
        <f>raw!N75</f>
        <v>-57.366489182741397</v>
      </c>
      <c r="D55" s="12">
        <f t="shared" si="0"/>
        <v>156</v>
      </c>
    </row>
    <row r="56" spans="1:4" x14ac:dyDescent="0.3">
      <c r="A56" s="12">
        <f>raw!I76</f>
        <v>10.466666666666667</v>
      </c>
      <c r="B56" s="12">
        <f>raw!N76</f>
        <v>-57.699919713909615</v>
      </c>
      <c r="D56" s="12">
        <f t="shared" si="0"/>
        <v>157</v>
      </c>
    </row>
    <row r="57" spans="1:4" x14ac:dyDescent="0.3">
      <c r="A57" s="12">
        <f>raw!I77</f>
        <v>10.533333333333333</v>
      </c>
      <c r="B57" s="12">
        <f>raw!N77</f>
        <v>-58.019580076893469</v>
      </c>
      <c r="D57" s="12">
        <f t="shared" si="0"/>
        <v>158</v>
      </c>
    </row>
    <row r="58" spans="1:4" x14ac:dyDescent="0.3">
      <c r="A58" s="12">
        <f>raw!I78</f>
        <v>10.6</v>
      </c>
      <c r="B58" s="12">
        <f>raw!N78</f>
        <v>-58.325923254931794</v>
      </c>
      <c r="D58" s="12">
        <f t="shared" si="0"/>
        <v>159</v>
      </c>
    </row>
    <row r="59" spans="1:4" x14ac:dyDescent="0.3">
      <c r="A59" s="12">
        <f>raw!I79</f>
        <v>10.666666666666666</v>
      </c>
      <c r="B59" s="12">
        <f>raw!N79</f>
        <v>-58.6193791159927</v>
      </c>
      <c r="D59" s="12">
        <f t="shared" si="0"/>
        <v>160</v>
      </c>
    </row>
    <row r="60" spans="1:4" x14ac:dyDescent="0.3">
      <c r="A60" s="12">
        <f>raw!I80</f>
        <v>10.733333333333333</v>
      </c>
      <c r="B60" s="12">
        <f>raw!N80</f>
        <v>-58.900355415239595</v>
      </c>
      <c r="D60" s="12">
        <f t="shared" si="0"/>
        <v>161</v>
      </c>
    </row>
    <row r="61" spans="1:4" x14ac:dyDescent="0.3">
      <c r="A61" s="12">
        <f>raw!I81</f>
        <v>10.8</v>
      </c>
      <c r="B61" s="12">
        <f>raw!N81</f>
        <v>-59.169238757927403</v>
      </c>
      <c r="D61" s="12">
        <f t="shared" si="0"/>
        <v>162</v>
      </c>
    </row>
    <row r="62" spans="1:4" x14ac:dyDescent="0.3">
      <c r="A62" s="12">
        <f>raw!I82</f>
        <v>10.866666666666667</v>
      </c>
      <c r="B62" s="12">
        <f>raw!N82</f>
        <v>-59.426395521676618</v>
      </c>
      <c r="D62" s="12">
        <f t="shared" si="0"/>
        <v>163</v>
      </c>
    </row>
    <row r="63" spans="1:4" x14ac:dyDescent="0.3">
      <c r="A63" s="12">
        <f>raw!I83</f>
        <v>10.933333333333334</v>
      </c>
      <c r="B63" s="12">
        <f>raw!N83</f>
        <v>-59.672172737609095</v>
      </c>
      <c r="D63" s="12">
        <f t="shared" si="0"/>
        <v>164</v>
      </c>
    </row>
    <row r="64" spans="1:4" x14ac:dyDescent="0.3">
      <c r="A64" s="12">
        <f>raw!I84</f>
        <v>11</v>
      </c>
      <c r="B64" s="12">
        <f>raw!N84</f>
        <v>-59.906898930261036</v>
      </c>
      <c r="D64" s="12">
        <f t="shared" si="0"/>
        <v>165</v>
      </c>
    </row>
    <row r="65" spans="1:4" x14ac:dyDescent="0.3">
      <c r="A65" s="12">
        <f>raw!I85</f>
        <v>11.066666666666666</v>
      </c>
      <c r="B65" s="12">
        <f>raw!N85</f>
        <v>-60.130884916533709</v>
      </c>
      <c r="D65" s="12">
        <f t="shared" si="0"/>
        <v>166</v>
      </c>
    </row>
    <row r="66" spans="1:4" x14ac:dyDescent="0.3">
      <c r="A66" s="12">
        <f>raw!I86</f>
        <v>11.133333333333333</v>
      </c>
      <c r="B66" s="12">
        <f>raw!N86</f>
        <v>-60.344424564214385</v>
      </c>
      <c r="D66" s="12">
        <f t="shared" si="0"/>
        <v>167</v>
      </c>
    </row>
    <row r="67" spans="1:4" x14ac:dyDescent="0.3">
      <c r="A67" s="12">
        <f>raw!I87</f>
        <v>11.2</v>
      </c>
      <c r="B67" s="12">
        <f>raw!N87</f>
        <v>-60.547795510809955</v>
      </c>
      <c r="D67" s="12">
        <f t="shared" ref="D67:D130" si="1">15*(INT(A67)+MOD(A67,1))</f>
        <v>168</v>
      </c>
    </row>
    <row r="68" spans="1:4" x14ac:dyDescent="0.3">
      <c r="A68" s="12">
        <f>raw!I88</f>
        <v>11.266666666666667</v>
      </c>
      <c r="B68" s="12">
        <f>raw!N88</f>
        <v>-60.741259843594541</v>
      </c>
      <c r="D68" s="12">
        <f t="shared" si="1"/>
        <v>169</v>
      </c>
    </row>
    <row r="69" spans="1:4" x14ac:dyDescent="0.3">
      <c r="A69" s="12">
        <f>raw!I89</f>
        <v>11.333333333333334</v>
      </c>
      <c r="B69" s="12">
        <f>raw!N89</f>
        <v>-60.92506474188869</v>
      </c>
      <c r="D69" s="12">
        <f t="shared" si="1"/>
        <v>170</v>
      </c>
    </row>
    <row r="70" spans="1:4" x14ac:dyDescent="0.3">
      <c r="A70" s="12">
        <f>raw!I90</f>
        <v>11.4</v>
      </c>
      <c r="B70" s="12">
        <f>raw!N90</f>
        <v>-61.099443082668344</v>
      </c>
      <c r="D70" s="12">
        <f t="shared" si="1"/>
        <v>171</v>
      </c>
    </row>
    <row r="71" spans="1:4" x14ac:dyDescent="0.3">
      <c r="A71" s="12">
        <f>raw!I91</f>
        <v>11.466666666666667</v>
      </c>
      <c r="B71" s="12">
        <f>raw!N91</f>
        <v>-61.264614010653375</v>
      </c>
      <c r="D71" s="12">
        <f t="shared" si="1"/>
        <v>172</v>
      </c>
    </row>
    <row r="72" spans="1:4" x14ac:dyDescent="0.3">
      <c r="A72" s="12">
        <f>raw!I92</f>
        <v>11.533333333333333</v>
      </c>
      <c r="B72" s="12">
        <f>raw!N92</f>
        <v>-61.420783474052747</v>
      </c>
      <c r="D72" s="12">
        <f t="shared" si="1"/>
        <v>173</v>
      </c>
    </row>
    <row r="73" spans="1:4" x14ac:dyDescent="0.3">
      <c r="A73" s="12">
        <f>raw!I93</f>
        <v>11.6</v>
      </c>
      <c r="B73" s="12">
        <f>raw!N93</f>
        <v>-61.568144727151342</v>
      </c>
      <c r="D73" s="12">
        <f t="shared" si="1"/>
        <v>174</v>
      </c>
    </row>
    <row r="74" spans="1:4" x14ac:dyDescent="0.3">
      <c r="A74" s="12">
        <f>raw!I94</f>
        <v>11.666666666666666</v>
      </c>
      <c r="B74" s="12">
        <f>raw!N94</f>
        <v>-61.706878800915106</v>
      </c>
      <c r="D74" s="12">
        <f t="shared" si="1"/>
        <v>175</v>
      </c>
    </row>
    <row r="75" spans="1:4" x14ac:dyDescent="0.3">
      <c r="A75" s="12">
        <f>raw!I95</f>
        <v>11.733333333333333</v>
      </c>
      <c r="B75" s="12">
        <f>raw!N95</f>
        <v>-61.837154942770553</v>
      </c>
      <c r="D75" s="12">
        <f t="shared" si="1"/>
        <v>176</v>
      </c>
    </row>
    <row r="76" spans="1:4" x14ac:dyDescent="0.3">
      <c r="A76" s="12">
        <f>raw!I96</f>
        <v>11.8</v>
      </c>
      <c r="B76" s="12">
        <f>raw!N96</f>
        <v>-61.959131026682897</v>
      </c>
      <c r="D76" s="12">
        <f t="shared" si="1"/>
        <v>177</v>
      </c>
    </row>
    <row r="77" spans="1:4" x14ac:dyDescent="0.3">
      <c r="A77" s="12">
        <f>raw!I97</f>
        <v>11.866666666666667</v>
      </c>
      <c r="B77" s="12">
        <f>raw!N97</f>
        <v>-62.072953934617928</v>
      </c>
      <c r="D77" s="12">
        <f t="shared" si="1"/>
        <v>178</v>
      </c>
    </row>
    <row r="78" spans="1:4" x14ac:dyDescent="0.3">
      <c r="A78" s="12">
        <f>raw!I98</f>
        <v>11.933333333333334</v>
      </c>
      <c r="B78" s="12">
        <f>raw!N98</f>
        <v>-62.178759910426976</v>
      </c>
      <c r="D78" s="12">
        <f t="shared" si="1"/>
        <v>179</v>
      </c>
    </row>
    <row r="79" spans="1:4" x14ac:dyDescent="0.3">
      <c r="A79" s="12">
        <f>raw!I99</f>
        <v>12</v>
      </c>
      <c r="B79" s="12">
        <f>raw!N99</f>
        <v>-62.276674887143415</v>
      </c>
      <c r="D79" s="12">
        <f t="shared" si="1"/>
        <v>180</v>
      </c>
    </row>
    <row r="80" spans="1:4" x14ac:dyDescent="0.3">
      <c r="A80" s="12">
        <f>raw!I100</f>
        <v>12.066666666666666</v>
      </c>
      <c r="B80" s="12">
        <f>raw!N100</f>
        <v>-62.36681478862473</v>
      </c>
      <c r="D80" s="12">
        <f t="shared" si="1"/>
        <v>181</v>
      </c>
    </row>
    <row r="81" spans="1:4" x14ac:dyDescent="0.3">
      <c r="A81" s="12">
        <f>raw!I101</f>
        <v>12.133333333333333</v>
      </c>
      <c r="B81" s="12">
        <f>raw!N101</f>
        <v>-62.449285806417073</v>
      </c>
      <c r="D81" s="12">
        <f t="shared" si="1"/>
        <v>182</v>
      </c>
    </row>
    <row r="82" spans="1:4" x14ac:dyDescent="0.3">
      <c r="A82" s="12">
        <f>raw!I102</f>
        <v>12.2</v>
      </c>
      <c r="B82" s="12">
        <f>raw!N102</f>
        <v>-62.524184652660146</v>
      </c>
      <c r="D82" s="12">
        <f t="shared" si="1"/>
        <v>183</v>
      </c>
    </row>
    <row r="83" spans="1:4" x14ac:dyDescent="0.3">
      <c r="A83" s="12">
        <f>raw!I103</f>
        <v>12.266666666666667</v>
      </c>
      <c r="B83" s="12">
        <f>raw!N103</f>
        <v>-62.591598789789167</v>
      </c>
      <c r="D83" s="12">
        <f t="shared" si="1"/>
        <v>184</v>
      </c>
    </row>
    <row r="84" spans="1:4" x14ac:dyDescent="0.3">
      <c r="A84" s="12">
        <f>raw!I104</f>
        <v>12.333333333333334</v>
      </c>
      <c r="B84" s="12">
        <f>raw!N104</f>
        <v>-62.65160663773036</v>
      </c>
      <c r="D84" s="12">
        <f t="shared" si="1"/>
        <v>185</v>
      </c>
    </row>
    <row r="85" spans="1:4" x14ac:dyDescent="0.3">
      <c r="A85" s="12">
        <f>raw!I105</f>
        <v>12.4</v>
      </c>
      <c r="B85" s="12">
        <f>raw!N105</f>
        <v>-62.704277759223373</v>
      </c>
      <c r="D85" s="12">
        <f t="shared" si="1"/>
        <v>186</v>
      </c>
    </row>
    <row r="86" spans="1:4" x14ac:dyDescent="0.3">
      <c r="A86" s="12">
        <f>raw!I106</f>
        <v>12.466666666666667</v>
      </c>
      <c r="B86" s="12">
        <f>raw!N106</f>
        <v>-62.749673023842782</v>
      </c>
      <c r="D86" s="12">
        <f t="shared" si="1"/>
        <v>187</v>
      </c>
    </row>
    <row r="87" spans="1:4" x14ac:dyDescent="0.3">
      <c r="A87" s="12">
        <f>raw!I107</f>
        <v>12.533333333333333</v>
      </c>
      <c r="B87" s="12">
        <f>raw!N107</f>
        <v>-62.787844751228619</v>
      </c>
      <c r="D87" s="12">
        <f t="shared" si="1"/>
        <v>188</v>
      </c>
    </row>
    <row r="88" spans="1:4" x14ac:dyDescent="0.3">
      <c r="A88" s="12">
        <f>raw!I108</f>
        <v>12.6</v>
      </c>
      <c r="B88" s="12">
        <f>raw!N108</f>
        <v>-62.818836833973599</v>
      </c>
      <c r="D88" s="12">
        <f t="shared" si="1"/>
        <v>189</v>
      </c>
    </row>
    <row r="89" spans="1:4" x14ac:dyDescent="0.3">
      <c r="A89" s="12">
        <f>raw!I109</f>
        <v>12.666666666666666</v>
      </c>
      <c r="B89" s="12">
        <f>raw!N109</f>
        <v>-62.842684840553723</v>
      </c>
      <c r="D89" s="12">
        <f t="shared" si="1"/>
        <v>190</v>
      </c>
    </row>
    <row r="90" spans="1:4" x14ac:dyDescent="0.3">
      <c r="A90" s="12">
        <f>raw!I110</f>
        <v>12.733333333333333</v>
      </c>
      <c r="B90" s="12">
        <f>raw!N110</f>
        <v>-62.859416098626816</v>
      </c>
      <c r="D90" s="12">
        <f t="shared" si="1"/>
        <v>191</v>
      </c>
    </row>
    <row r="91" spans="1:4" x14ac:dyDescent="0.3">
      <c r="A91" s="12">
        <f>raw!I111</f>
        <v>12.8</v>
      </c>
      <c r="B91" s="12">
        <f>raw!N111</f>
        <v>-62.869049758963108</v>
      </c>
      <c r="D91" s="12">
        <f t="shared" si="1"/>
        <v>192</v>
      </c>
    </row>
    <row r="92" spans="1:4" x14ac:dyDescent="0.3">
      <c r="A92" s="12">
        <f>raw!I112</f>
        <v>12.866666666666667</v>
      </c>
      <c r="B92" s="12">
        <f>raw!N112</f>
        <v>-62.871596840210778</v>
      </c>
      <c r="D92" s="12">
        <f t="shared" si="1"/>
        <v>193</v>
      </c>
    </row>
    <row r="93" spans="1:4" x14ac:dyDescent="0.3">
      <c r="A93" s="12">
        <f>raw!I113</f>
        <v>12.933333333333334</v>
      </c>
      <c r="B93" s="12">
        <f>raw!N113</f>
        <v>-62.867060254638822</v>
      </c>
      <c r="D93" s="12">
        <f t="shared" si="1"/>
        <v>194</v>
      </c>
    </row>
    <row r="94" spans="1:4" x14ac:dyDescent="0.3">
      <c r="A94" s="12">
        <f>raw!I114</f>
        <v>13</v>
      </c>
      <c r="B94" s="12">
        <f>raw!N114</f>
        <v>-62.855434814939372</v>
      </c>
      <c r="D94" s="12">
        <f t="shared" si="1"/>
        <v>195</v>
      </c>
    </row>
    <row r="95" spans="1:4" x14ac:dyDescent="0.3">
      <c r="A95" s="12">
        <f>raw!I115</f>
        <v>13.066666666666666</v>
      </c>
      <c r="B95" s="12">
        <f>raw!N115</f>
        <v>-62.836707222111023</v>
      </c>
      <c r="D95" s="12">
        <f t="shared" si="1"/>
        <v>196</v>
      </c>
    </row>
    <row r="96" spans="1:4" x14ac:dyDescent="0.3">
      <c r="A96" s="12">
        <f>raw!I116</f>
        <v>13.133333333333333</v>
      </c>
      <c r="B96" s="12">
        <f>raw!N116</f>
        <v>-62.810856034384635</v>
      </c>
      <c r="D96" s="12">
        <f t="shared" si="1"/>
        <v>197</v>
      </c>
    </row>
    <row r="97" spans="1:4" x14ac:dyDescent="0.3">
      <c r="A97" s="12">
        <f>raw!I117</f>
        <v>13.2</v>
      </c>
      <c r="B97" s="12">
        <f>raw!N117</f>
        <v>-62.777851617092573</v>
      </c>
      <c r="D97" s="12">
        <f t="shared" si="1"/>
        <v>198</v>
      </c>
    </row>
    <row r="98" spans="1:4" x14ac:dyDescent="0.3">
      <c r="A98" s="12">
        <f>raw!I118</f>
        <v>13.266666666666667</v>
      </c>
      <c r="B98" s="12">
        <f>raw!N118</f>
        <v>-62.737656073322178</v>
      </c>
      <c r="D98" s="12">
        <f t="shared" si="1"/>
        <v>199</v>
      </c>
    </row>
    <row r="99" spans="1:4" x14ac:dyDescent="0.3">
      <c r="A99" s="12">
        <f>raw!I119</f>
        <v>13.333333333333334</v>
      </c>
      <c r="B99" s="12">
        <f>raw!N119</f>
        <v>-62.69022315513304</v>
      </c>
      <c r="D99" s="12">
        <f t="shared" si="1"/>
        <v>200</v>
      </c>
    </row>
    <row r="100" spans="1:4" x14ac:dyDescent="0.3">
      <c r="A100" s="12">
        <f>raw!I120</f>
        <v>13.4</v>
      </c>
      <c r="B100" s="12">
        <f>raw!N120</f>
        <v>-62.635498155057469</v>
      </c>
      <c r="D100" s="12">
        <f t="shared" si="1"/>
        <v>201</v>
      </c>
    </row>
    <row r="101" spans="1:4" x14ac:dyDescent="0.3">
      <c r="A101" s="12">
        <f>raw!I121</f>
        <v>13.466666666666667</v>
      </c>
      <c r="B101" s="12">
        <f>raw!N121</f>
        <v>-62.573417777541721</v>
      </c>
      <c r="D101" s="12">
        <f t="shared" si="1"/>
        <v>202</v>
      </c>
    </row>
    <row r="102" spans="1:4" x14ac:dyDescent="0.3">
      <c r="A102" s="12">
        <f>raw!I122</f>
        <v>13.533333333333333</v>
      </c>
      <c r="B102" s="12">
        <f>raw!N122</f>
        <v>-62.503909989924722</v>
      </c>
      <c r="D102" s="12">
        <f t="shared" si="1"/>
        <v>203</v>
      </c>
    </row>
    <row r="103" spans="1:4" x14ac:dyDescent="0.3">
      <c r="A103" s="12">
        <f>raw!I123</f>
        <v>13.6</v>
      </c>
      <c r="B103" s="12">
        <f>raw!N123</f>
        <v>-62.426893852488639</v>
      </c>
      <c r="D103" s="12">
        <f t="shared" si="1"/>
        <v>204</v>
      </c>
    </row>
    <row r="104" spans="1:4" x14ac:dyDescent="0.3">
      <c r="A104" s="12">
        <f>raw!I124</f>
        <v>13.666666666666666</v>
      </c>
      <c r="B104" s="12">
        <f>raw!N124</f>
        <v>-62.342279327054179</v>
      </c>
      <c r="D104" s="12">
        <f t="shared" si="1"/>
        <v>205</v>
      </c>
    </row>
    <row r="105" spans="1:4" x14ac:dyDescent="0.3">
      <c r="A105" s="12">
        <f>raw!I125</f>
        <v>13.733333333333333</v>
      </c>
      <c r="B105" s="12">
        <f>raw!N125</f>
        <v>-62.249967063531329</v>
      </c>
      <c r="D105" s="12">
        <f t="shared" si="1"/>
        <v>206</v>
      </c>
    </row>
    <row r="106" spans="1:4" x14ac:dyDescent="0.3">
      <c r="A106" s="12">
        <f>raw!I126</f>
        <v>13.8</v>
      </c>
      <c r="B106" s="12">
        <f>raw!N126</f>
        <v>-62.14984816377401</v>
      </c>
      <c r="D106" s="12">
        <f t="shared" si="1"/>
        <v>207</v>
      </c>
    </row>
    <row r="107" spans="1:4" x14ac:dyDescent="0.3">
      <c r="A107" s="12">
        <f>raw!I127</f>
        <v>13.866666666666667</v>
      </c>
      <c r="B107" s="12">
        <f>raw!N127</f>
        <v>-62.041803922025728</v>
      </c>
      <c r="D107" s="12">
        <f t="shared" si="1"/>
        <v>208</v>
      </c>
    </row>
    <row r="108" spans="1:4" x14ac:dyDescent="0.3">
      <c r="A108" s="12">
        <f>raw!I128</f>
        <v>13.933333333333334</v>
      </c>
      <c r="B108" s="12">
        <f>raw!N128</f>
        <v>-61.925705541181777</v>
      </c>
      <c r="D108" s="12">
        <f t="shared" si="1"/>
        <v>209</v>
      </c>
    </row>
    <row r="109" spans="1:4" x14ac:dyDescent="0.3">
      <c r="A109" s="12">
        <f>raw!I129</f>
        <v>14</v>
      </c>
      <c r="B109" s="12">
        <f>raw!N129</f>
        <v>-61.801413824033617</v>
      </c>
      <c r="D109" s="12">
        <f t="shared" si="1"/>
        <v>210</v>
      </c>
    </row>
    <row r="110" spans="1:4" x14ac:dyDescent="0.3">
      <c r="A110" s="12">
        <f>raw!I130</f>
        <v>14.066666666666666</v>
      </c>
      <c r="B110" s="12">
        <f>raw!N130</f>
        <v>-61.668778838602158</v>
      </c>
      <c r="D110" s="12">
        <f t="shared" si="1"/>
        <v>211</v>
      </c>
    </row>
    <row r="111" spans="1:4" x14ac:dyDescent="0.3">
      <c r="A111" s="12">
        <f>raw!I131</f>
        <v>14.133333333333333</v>
      </c>
      <c r="B111" s="12">
        <f>raw!N131</f>
        <v>-61.527639556610431</v>
      </c>
      <c r="D111" s="12">
        <f t="shared" si="1"/>
        <v>212</v>
      </c>
    </row>
    <row r="112" spans="1:4" x14ac:dyDescent="0.3">
      <c r="A112" s="12">
        <f>raw!I132</f>
        <v>14.2</v>
      </c>
      <c r="B112" s="12">
        <f>raw!N132</f>
        <v>-61.377823464092259</v>
      </c>
      <c r="D112" s="12">
        <f t="shared" si="1"/>
        <v>213</v>
      </c>
    </row>
    <row r="113" spans="1:4" x14ac:dyDescent="0.3">
      <c r="A113" s="12">
        <f>raw!I133</f>
        <v>14.266666666666667</v>
      </c>
      <c r="B113" s="12">
        <f>raw!N133</f>
        <v>-61.21914614308438</v>
      </c>
      <c r="D113" s="12">
        <f t="shared" si="1"/>
        <v>214</v>
      </c>
    </row>
    <row r="114" spans="1:4" x14ac:dyDescent="0.3">
      <c r="A114" s="12">
        <f>raw!I134</f>
        <v>14.333333333333334</v>
      </c>
      <c r="B114" s="12">
        <f>raw!N134</f>
        <v>-61.051410823305275</v>
      </c>
      <c r="D114" s="12">
        <f t="shared" si="1"/>
        <v>215</v>
      </c>
    </row>
    <row r="115" spans="1:4" x14ac:dyDescent="0.3">
      <c r="A115" s="12">
        <f>raw!I135</f>
        <v>14.4</v>
      </c>
      <c r="B115" s="12">
        <f>raw!N135</f>
        <v>-60.874407902686215</v>
      </c>
      <c r="D115" s="12">
        <f t="shared" si="1"/>
        <v>216</v>
      </c>
    </row>
    <row r="116" spans="1:4" x14ac:dyDescent="0.3">
      <c r="A116" s="12">
        <f>raw!I136</f>
        <v>14.466666666666667</v>
      </c>
      <c r="B116" s="12">
        <f>raw!N136</f>
        <v>-60.687914435591935</v>
      </c>
      <c r="D116" s="12">
        <f t="shared" si="1"/>
        <v>217</v>
      </c>
    </row>
    <row r="117" spans="1:4" x14ac:dyDescent="0.3">
      <c r="A117" s="12">
        <f>raw!I137</f>
        <v>14.533333333333333</v>
      </c>
      <c r="B117" s="12">
        <f>raw!N137</f>
        <v>-60.491693587550408</v>
      </c>
      <c r="D117" s="12">
        <f t="shared" si="1"/>
        <v>218</v>
      </c>
    </row>
    <row r="118" spans="1:4" x14ac:dyDescent="0.3">
      <c r="A118" s="12">
        <f>raw!I138</f>
        <v>14.6</v>
      </c>
      <c r="B118" s="12">
        <f>raw!N138</f>
        <v>-60.285494055307019</v>
      </c>
      <c r="D118" s="12">
        <f t="shared" si="1"/>
        <v>219</v>
      </c>
    </row>
    <row r="119" spans="1:4" x14ac:dyDescent="0.3">
      <c r="A119" s="12">
        <f>raw!I139</f>
        <v>14.666666666666666</v>
      </c>
      <c r="B119" s="12">
        <f>raw!N139</f>
        <v>-60.069049451031795</v>
      </c>
      <c r="D119" s="12">
        <f t="shared" si="1"/>
        <v>220</v>
      </c>
    </row>
    <row r="120" spans="1:4" x14ac:dyDescent="0.3">
      <c r="A120" s="12">
        <f>raw!I140</f>
        <v>14.733333333333333</v>
      </c>
      <c r="B120" s="12">
        <f>raw!N140</f>
        <v>-59.84207764954153</v>
      </c>
      <c r="D120" s="12">
        <f t="shared" si="1"/>
        <v>221</v>
      </c>
    </row>
    <row r="121" spans="1:4" x14ac:dyDescent="0.3">
      <c r="A121" s="12">
        <f>raw!I141</f>
        <v>14.8</v>
      </c>
      <c r="B121" s="12">
        <f>raw!N141</f>
        <v>-59.604280097458272</v>
      </c>
      <c r="D121" s="12">
        <f t="shared" si="1"/>
        <v>222</v>
      </c>
    </row>
    <row r="122" spans="1:4" x14ac:dyDescent="0.3">
      <c r="A122" s="12">
        <f>raw!I142</f>
        <v>14.866666666666667</v>
      </c>
      <c r="B122" s="12">
        <f>raw!N142</f>
        <v>-59.355341083315253</v>
      </c>
      <c r="D122" s="12">
        <f t="shared" si="1"/>
        <v>223</v>
      </c>
    </row>
    <row r="123" spans="1:4" x14ac:dyDescent="0.3">
      <c r="A123" s="12">
        <f>raw!I143</f>
        <v>14.933333333333334</v>
      </c>
      <c r="B123" s="12">
        <f>raw!N143</f>
        <v>-59.094926967748776</v>
      </c>
      <c r="D123" s="12">
        <f t="shared" si="1"/>
        <v>224</v>
      </c>
    </row>
    <row r="124" spans="1:4" x14ac:dyDescent="0.3">
      <c r="A124" s="12">
        <f>raw!I144</f>
        <v>15</v>
      </c>
      <c r="B124" s="12">
        <f>raw!N144</f>
        <v>-58.822685373087253</v>
      </c>
      <c r="D124" s="12">
        <f t="shared" si="1"/>
        <v>225</v>
      </c>
    </row>
    <row r="125" spans="1:4" x14ac:dyDescent="0.3">
      <c r="A125" s="12">
        <f>raw!I145</f>
        <v>15.066666666666666</v>
      </c>
      <c r="B125" s="12">
        <f>raw!N145</f>
        <v>-58.538244331874417</v>
      </c>
      <c r="D125" s="12">
        <f t="shared" si="1"/>
        <v>226</v>
      </c>
    </row>
    <row r="126" spans="1:4" x14ac:dyDescent="0.3">
      <c r="A126" s="12">
        <f>raw!I146</f>
        <v>15.133333333333333</v>
      </c>
      <c r="B126" s="12">
        <f>raw!N146</f>
        <v>-58.24121139415513</v>
      </c>
      <c r="D126" s="12">
        <f t="shared" si="1"/>
        <v>227</v>
      </c>
    </row>
    <row r="127" spans="1:4" x14ac:dyDescent="0.3">
      <c r="A127" s="12">
        <f>raw!I147</f>
        <v>15.2</v>
      </c>
      <c r="B127" s="12">
        <f>raw!N147</f>
        <v>-57.931172693719994</v>
      </c>
      <c r="D127" s="12">
        <f t="shared" si="1"/>
        <v>228</v>
      </c>
    </row>
    <row r="128" spans="1:4" x14ac:dyDescent="0.3">
      <c r="A128" s="12">
        <f>raw!I148</f>
        <v>15.266666666666667</v>
      </c>
      <c r="B128" s="12">
        <f>raw!N148</f>
        <v>-57.607691973964549</v>
      </c>
      <c r="D128" s="12">
        <f t="shared" si="1"/>
        <v>229</v>
      </c>
    </row>
    <row r="129" spans="1:4" x14ac:dyDescent="0.3">
      <c r="A129" s="12">
        <f>raw!I149</f>
        <v>15.333333333333334</v>
      </c>
      <c r="B129" s="12">
        <f>raw!N149</f>
        <v>-57.270309574586499</v>
      </c>
      <c r="D129" s="12">
        <f t="shared" si="1"/>
        <v>230</v>
      </c>
    </row>
    <row r="130" spans="1:4" x14ac:dyDescent="0.3">
      <c r="A130" s="12">
        <f>raw!I150</f>
        <v>15.4</v>
      </c>
      <c r="B130" s="12">
        <f>raw!N150</f>
        <v>-56.918541381040342</v>
      </c>
      <c r="D130" s="12">
        <f t="shared" si="1"/>
        <v>231</v>
      </c>
    </row>
    <row r="131" spans="1:4" x14ac:dyDescent="0.3">
      <c r="A131" s="12">
        <f>raw!I151</f>
        <v>15.466666666666667</v>
      </c>
      <c r="B131" s="12">
        <f>raw!N151</f>
        <v>-56.551877739515447</v>
      </c>
      <c r="D131" s="12">
        <f t="shared" ref="D131:D194" si="2">15*(INT(A131)+MOD(A131,1))</f>
        <v>232</v>
      </c>
    </row>
    <row r="132" spans="1:4" x14ac:dyDescent="0.3">
      <c r="A132" s="12">
        <f>raw!I152</f>
        <v>15.533333333333333</v>
      </c>
      <c r="B132" s="12">
        <f>raw!N152</f>
        <v>-56.169782341226892</v>
      </c>
      <c r="D132" s="12">
        <f t="shared" si="2"/>
        <v>233</v>
      </c>
    </row>
    <row r="133" spans="1:4" x14ac:dyDescent="0.3">
      <c r="A133" s="12">
        <f>raw!I153</f>
        <v>15.6</v>
      </c>
      <c r="B133" s="12">
        <f>raw!N153</f>
        <v>-55.771691081039002</v>
      </c>
      <c r="D133" s="12">
        <f t="shared" si="2"/>
        <v>234</v>
      </c>
    </row>
    <row r="134" spans="1:4" x14ac:dyDescent="0.3">
      <c r="A134" s="12">
        <f>raw!I154</f>
        <v>15.666666666666666</v>
      </c>
      <c r="B134" s="12">
        <f>raw!N154</f>
        <v>-55.357010896913678</v>
      </c>
      <c r="D134" s="12">
        <f t="shared" si="2"/>
        <v>235</v>
      </c>
    </row>
    <row r="135" spans="1:4" x14ac:dyDescent="0.3">
      <c r="A135" s="12">
        <f>raw!I155</f>
        <v>15.733333333333333</v>
      </c>
      <c r="B135" s="12">
        <f>raw!N155</f>
        <v>-54.925118598427964</v>
      </c>
      <c r="D135" s="12">
        <f t="shared" si="2"/>
        <v>236</v>
      </c>
    </row>
    <row r="136" spans="1:4" x14ac:dyDescent="0.3">
      <c r="A136" s="12">
        <f>raw!I156</f>
        <v>15.8</v>
      </c>
      <c r="B136" s="12">
        <f>raw!N156</f>
        <v>-54.475359694682979</v>
      </c>
      <c r="D136" s="12">
        <f t="shared" si="2"/>
        <v>237</v>
      </c>
    </row>
    <row r="137" spans="1:4" x14ac:dyDescent="0.3">
      <c r="A137" s="12">
        <f>raw!I157</f>
        <v>15.866666666666667</v>
      </c>
      <c r="B137" s="12">
        <f>raw!N157</f>
        <v>-54.007047234378312</v>
      </c>
      <c r="D137" s="12">
        <f t="shared" si="2"/>
        <v>238</v>
      </c>
    </row>
    <row r="138" spans="1:4" x14ac:dyDescent="0.3">
      <c r="A138" s="12">
        <f>raw!I158</f>
        <v>15.933333333333334</v>
      </c>
      <c r="B138" s="12">
        <f>raw!N158</f>
        <v>-53.519460673707556</v>
      </c>
      <c r="D138" s="12">
        <f t="shared" si="2"/>
        <v>239</v>
      </c>
    </row>
    <row r="139" spans="1:4" x14ac:dyDescent="0.3">
      <c r="A139" s="12">
        <f>raw!I159</f>
        <v>16</v>
      </c>
      <c r="B139" s="12">
        <f>raw!N159</f>
        <v>-53.011844791102561</v>
      </c>
      <c r="D139" s="12">
        <f t="shared" si="2"/>
        <v>240</v>
      </c>
    </row>
    <row r="140" spans="1:4" x14ac:dyDescent="0.3">
      <c r="A140" s="12">
        <f>raw!I160</f>
        <v>16.066666666666666</v>
      </c>
      <c r="B140" s="12">
        <f>raw!N160</f>
        <v>-52.483408671782058</v>
      </c>
      <c r="D140" s="12">
        <f t="shared" si="2"/>
        <v>241</v>
      </c>
    </row>
    <row r="141" spans="1:4" x14ac:dyDescent="0.3">
      <c r="A141" s="12">
        <f>raw!I161</f>
        <v>16.133333333333333</v>
      </c>
      <c r="B141" s="12">
        <f>raw!N161</f>
        <v>-51.933324789614467</v>
      </c>
      <c r="D141" s="12">
        <f t="shared" si="2"/>
        <v>242</v>
      </c>
    </row>
    <row r="142" spans="1:4" x14ac:dyDescent="0.3">
      <c r="A142" s="12">
        <f>raw!I162</f>
        <v>16.2</v>
      </c>
      <c r="B142" s="12">
        <f>raw!N162</f>
        <v>-51.36072821905838</v>
      </c>
      <c r="D142" s="12">
        <f t="shared" si="2"/>
        <v>243</v>
      </c>
    </row>
    <row r="143" spans="1:4" x14ac:dyDescent="0.3">
      <c r="A143" s="12">
        <f>raw!I163</f>
        <v>16.266666666666666</v>
      </c>
      <c r="B143" s="12">
        <f>raw!N163</f>
        <v>-50.764716015971324</v>
      </c>
      <c r="D143" s="12">
        <f t="shared" si="2"/>
        <v>244</v>
      </c>
    </row>
    <row r="144" spans="1:4" x14ac:dyDescent="0.3">
      <c r="A144" s="12">
        <f>raw!I164</f>
        <v>16.333333333333332</v>
      </c>
      <c r="B144" s="12">
        <f>raw!N164</f>
        <v>-50.144346812949706</v>
      </c>
      <c r="D144" s="12">
        <f t="shared" si="2"/>
        <v>244.99999999999997</v>
      </c>
    </row>
    <row r="145" spans="1:4" x14ac:dyDescent="0.3">
      <c r="A145" s="12">
        <f>raw!I165</f>
        <v>16.399999999999999</v>
      </c>
      <c r="B145" s="12">
        <f>raw!N165</f>
        <v>-49.498640682644194</v>
      </c>
      <c r="D145" s="12">
        <f t="shared" si="2"/>
        <v>245.99999999999997</v>
      </c>
    </row>
    <row r="146" spans="1:4" x14ac:dyDescent="0.3">
      <c r="A146" s="12">
        <f>raw!I166</f>
        <v>16.466666666666665</v>
      </c>
      <c r="B146" s="12">
        <f>raw!N166</f>
        <v>-48.826579331238101</v>
      </c>
      <c r="D146" s="12">
        <f t="shared" si="2"/>
        <v>246.99999999999997</v>
      </c>
    </row>
    <row r="147" spans="1:4" x14ac:dyDescent="0.3">
      <c r="A147" s="12">
        <f>raw!I167</f>
        <v>16.533333333333335</v>
      </c>
      <c r="B147" s="12">
        <f>raw!N167</f>
        <v>-48.12710669400807</v>
      </c>
      <c r="D147" s="12">
        <f t="shared" si="2"/>
        <v>248.00000000000003</v>
      </c>
    </row>
    <row r="148" spans="1:4" x14ac:dyDescent="0.3">
      <c r="A148" s="12">
        <f>raw!I168</f>
        <v>16.600000000000001</v>
      </c>
      <c r="B148" s="12">
        <f>raw!N168</f>
        <v>-47.399130015605188</v>
      </c>
      <c r="D148" s="12">
        <f t="shared" si="2"/>
        <v>249.00000000000003</v>
      </c>
    </row>
    <row r="149" spans="1:4" x14ac:dyDescent="0.3">
      <c r="A149" s="12">
        <f>raw!I169</f>
        <v>16.666666666666668</v>
      </c>
      <c r="B149" s="12">
        <f>raw!N169</f>
        <v>-46.641521509343931</v>
      </c>
      <c r="D149" s="12">
        <f t="shared" si="2"/>
        <v>250.00000000000003</v>
      </c>
    </row>
    <row r="150" spans="1:4" x14ac:dyDescent="0.3">
      <c r="A150" s="12">
        <f>raw!I170</f>
        <v>16.733333333333334</v>
      </c>
      <c r="B150" s="12">
        <f>raw!N170</f>
        <v>-45.853120702251999</v>
      </c>
      <c r="D150" s="12">
        <f t="shared" si="2"/>
        <v>251</v>
      </c>
    </row>
    <row r="151" spans="1:4" x14ac:dyDescent="0.3">
      <c r="A151" s="12">
        <f>raw!I171</f>
        <v>16.8</v>
      </c>
      <c r="B151" s="12">
        <f>raw!N171</f>
        <v>-45.032737585699316</v>
      </c>
      <c r="D151" s="12">
        <f t="shared" si="2"/>
        <v>252</v>
      </c>
    </row>
    <row r="152" spans="1:4" x14ac:dyDescent="0.3">
      <c r="A152" s="12">
        <f>raw!I172</f>
        <v>16.866666666666667</v>
      </c>
      <c r="B152" s="12">
        <f>raw!N172</f>
        <v>-44.179156704768687</v>
      </c>
      <c r="D152" s="12">
        <f t="shared" si="2"/>
        <v>253</v>
      </c>
    </row>
    <row r="153" spans="1:4" x14ac:dyDescent="0.3">
      <c r="A153" s="12">
        <f>raw!I173</f>
        <v>16.933333333333334</v>
      </c>
      <c r="B153" s="12">
        <f>raw!N173</f>
        <v>-43.291142332669885</v>
      </c>
      <c r="D153" s="12">
        <f t="shared" si="2"/>
        <v>254</v>
      </c>
    </row>
    <row r="154" spans="1:4" x14ac:dyDescent="0.3">
      <c r="A154" s="12">
        <f>raw!I174</f>
        <v>17</v>
      </c>
      <c r="B154" s="12">
        <f>raw!N174</f>
        <v>-42.367444888770343</v>
      </c>
      <c r="D154" s="12">
        <f t="shared" si="2"/>
        <v>255</v>
      </c>
    </row>
    <row r="155" spans="1:4" x14ac:dyDescent="0.3">
      <c r="A155" s="12">
        <f>raw!I175</f>
        <v>17.066666666666666</v>
      </c>
      <c r="B155" s="12">
        <f>raw!N175</f>
        <v>-41.40680876932224</v>
      </c>
      <c r="D155" s="12">
        <f t="shared" si="2"/>
        <v>256</v>
      </c>
    </row>
    <row r="156" spans="1:4" x14ac:dyDescent="0.3">
      <c r="A156" s="12">
        <f>raw!I176</f>
        <v>17.133333333333333</v>
      </c>
      <c r="B156" s="12">
        <f>raw!N176</f>
        <v>-40.407981767542545</v>
      </c>
      <c r="D156" s="12">
        <f t="shared" si="2"/>
        <v>257</v>
      </c>
    </row>
    <row r="157" spans="1:4" x14ac:dyDescent="0.3">
      <c r="A157" s="12">
        <f>raw!I177</f>
        <v>17.2</v>
      </c>
      <c r="B157" s="12">
        <f>raw!N177</f>
        <v>-39.369726262877514</v>
      </c>
      <c r="D157" s="12">
        <f t="shared" si="2"/>
        <v>258</v>
      </c>
    </row>
    <row r="158" spans="1:4" x14ac:dyDescent="0.3">
      <c r="A158" s="12">
        <f>raw!I178</f>
        <v>17.266666666666666</v>
      </c>
      <c r="B158" s="12">
        <f>raw!N178</f>
        <v>-38.290832356243783</v>
      </c>
      <c r="D158" s="12">
        <f t="shared" si="2"/>
        <v>259</v>
      </c>
    </row>
    <row r="159" spans="1:4" x14ac:dyDescent="0.3">
      <c r="A159" s="12">
        <f>raw!I179</f>
        <v>17.333333333333332</v>
      </c>
      <c r="B159" s="12">
        <f>raw!N179</f>
        <v>-37.170133116626893</v>
      </c>
      <c r="D159" s="12">
        <f t="shared" si="2"/>
        <v>260</v>
      </c>
    </row>
    <row r="160" spans="1:4" x14ac:dyDescent="0.3">
      <c r="A160" s="12">
        <f>raw!I180</f>
        <v>17.399999999999999</v>
      </c>
      <c r="B160" s="12">
        <f>raw!N180</f>
        <v>-36.006522082145942</v>
      </c>
      <c r="D160" s="12">
        <f t="shared" si="2"/>
        <v>261</v>
      </c>
    </row>
    <row r="161" spans="1:4" x14ac:dyDescent="0.3">
      <c r="A161" s="12">
        <f>raw!I181</f>
        <v>17.466666666666665</v>
      </c>
      <c r="B161" s="12">
        <f>raw!N181</f>
        <v>-34.79897312280373</v>
      </c>
      <c r="D161" s="12">
        <f t="shared" si="2"/>
        <v>262</v>
      </c>
    </row>
    <row r="162" spans="1:4" x14ac:dyDescent="0.3">
      <c r="A162" s="12">
        <f>raw!I182</f>
        <v>17.533333333333335</v>
      </c>
      <c r="B162" s="12">
        <f>raw!N182</f>
        <v>-33.546562719740692</v>
      </c>
      <c r="D162" s="12">
        <f t="shared" si="2"/>
        <v>263</v>
      </c>
    </row>
    <row r="163" spans="1:4" x14ac:dyDescent="0.3">
      <c r="A163" s="12">
        <f>raw!I183</f>
        <v>17.600000000000001</v>
      </c>
      <c r="B163" s="12">
        <f>raw!N183</f>
        <v>-32.248494644063591</v>
      </c>
      <c r="D163" s="12">
        <f t="shared" si="2"/>
        <v>264</v>
      </c>
    </row>
    <row r="164" spans="1:4" x14ac:dyDescent="0.3">
      <c r="A164" s="12">
        <f>raw!I184</f>
        <v>17.666666666666668</v>
      </c>
      <c r="B164" s="12">
        <f>raw!N184</f>
        <v>-30.904126924767191</v>
      </c>
      <c r="D164" s="12">
        <f t="shared" si="2"/>
        <v>265</v>
      </c>
    </row>
    <row r="165" spans="1:4" x14ac:dyDescent="0.3">
      <c r="A165" s="12">
        <f>raw!I185</f>
        <v>17.733333333333334</v>
      </c>
      <c r="B165" s="12">
        <f>raw!N185</f>
        <v>-29.513000878230191</v>
      </c>
      <c r="D165" s="12">
        <f t="shared" si="2"/>
        <v>266</v>
      </c>
    </row>
    <row r="166" spans="1:4" x14ac:dyDescent="0.3">
      <c r="A166" s="12">
        <f>raw!I186</f>
        <v>17.8</v>
      </c>
      <c r="B166" s="12">
        <f>raw!N186</f>
        <v>-28.074871830885776</v>
      </c>
      <c r="D166" s="12">
        <f t="shared" si="2"/>
        <v>267</v>
      </c>
    </row>
    <row r="167" spans="1:4" x14ac:dyDescent="0.3">
      <c r="A167" s="12">
        <f>raw!I187</f>
        <v>17.866666666666667</v>
      </c>
      <c r="B167" s="12">
        <f>raw!N187</f>
        <v>-26.589741003516657</v>
      </c>
      <c r="D167" s="12">
        <f t="shared" si="2"/>
        <v>268</v>
      </c>
    </row>
    <row r="168" spans="1:4" x14ac:dyDescent="0.3">
      <c r="A168" s="12">
        <f>raw!I188</f>
        <v>17.933333333333334</v>
      </c>
      <c r="B168" s="12">
        <f>raw!N188</f>
        <v>-25.057887844386812</v>
      </c>
      <c r="D168" s="12">
        <f t="shared" si="2"/>
        <v>269</v>
      </c>
    </row>
    <row r="169" spans="1:4" x14ac:dyDescent="0.3">
      <c r="A169" s="12">
        <f>raw!I189</f>
        <v>18</v>
      </c>
      <c r="B169" s="12">
        <f>raw!N189</f>
        <v>-23.479901906526063</v>
      </c>
      <c r="D169" s="12">
        <f t="shared" si="2"/>
        <v>270</v>
      </c>
    </row>
    <row r="170" spans="1:4" x14ac:dyDescent="0.3">
      <c r="A170" s="12">
        <f>raw!I190</f>
        <v>18.066666666666666</v>
      </c>
      <c r="B170" s="12">
        <f>raw!N190</f>
        <v>-21.85671317308045</v>
      </c>
      <c r="D170" s="12">
        <f t="shared" si="2"/>
        <v>271</v>
      </c>
    </row>
    <row r="171" spans="1:4" x14ac:dyDescent="0.3">
      <c r="A171" s="12">
        <f>raw!I191</f>
        <v>18.133333333333333</v>
      </c>
      <c r="B171" s="12">
        <f>raw!N191</f>
        <v>-20.189619558778325</v>
      </c>
      <c r="D171" s="12">
        <f t="shared" si="2"/>
        <v>272</v>
      </c>
    </row>
    <row r="172" spans="1:4" x14ac:dyDescent="0.3">
      <c r="A172" s="12">
        <f>raw!I192</f>
        <v>18.2</v>
      </c>
      <c r="B172" s="12">
        <f>raw!N192</f>
        <v>-18.480310173844646</v>
      </c>
      <c r="D172" s="12">
        <f t="shared" si="2"/>
        <v>273</v>
      </c>
    </row>
    <row r="173" spans="1:4" x14ac:dyDescent="0.3">
      <c r="A173" s="12">
        <f>raw!I193</f>
        <v>18.266666666666666</v>
      </c>
      <c r="B173" s="12">
        <f>raw!N193</f>
        <v>-16.73088285029522</v>
      </c>
      <c r="D173" s="12">
        <f t="shared" si="2"/>
        <v>274</v>
      </c>
    </row>
    <row r="174" spans="1:4" x14ac:dyDescent="0.3">
      <c r="A174" s="12">
        <f>raw!I194</f>
        <v>18.333333333333332</v>
      </c>
      <c r="B174" s="12">
        <f>raw!N194</f>
        <v>-14.943854421404568</v>
      </c>
      <c r="D174" s="12">
        <f t="shared" si="2"/>
        <v>275</v>
      </c>
    </row>
    <row r="175" spans="1:4" x14ac:dyDescent="0.3">
      <c r="A175" s="12">
        <f>raw!I195</f>
        <v>18.399999999999999</v>
      </c>
      <c r="B175" s="12">
        <f>raw!N195</f>
        <v>-13.12216233340963</v>
      </c>
      <c r="D175" s="12">
        <f t="shared" si="2"/>
        <v>276</v>
      </c>
    </row>
    <row r="176" spans="1:4" x14ac:dyDescent="0.3">
      <c r="A176" s="12">
        <f>raw!I196</f>
        <v>18.466666666666665</v>
      </c>
      <c r="B176" s="12">
        <f>raw!N196</f>
        <v>-11.269156369319889</v>
      </c>
      <c r="D176" s="12">
        <f t="shared" si="2"/>
        <v>277</v>
      </c>
    </row>
    <row r="177" spans="1:4" x14ac:dyDescent="0.3">
      <c r="A177" s="12">
        <f>raw!I197</f>
        <v>18.533333333333335</v>
      </c>
      <c r="B177" s="12">
        <f>raw!N197</f>
        <v>-9.3885795847118114</v>
      </c>
      <c r="D177" s="12">
        <f t="shared" si="2"/>
        <v>278</v>
      </c>
    </row>
    <row r="178" spans="1:4" x14ac:dyDescent="0.3">
      <c r="A178" s="12">
        <f>raw!I198</f>
        <v>18.600000000000001</v>
      </c>
      <c r="B178" s="12">
        <f>raw!N198</f>
        <v>-7.4845379896278112</v>
      </c>
      <c r="D178" s="12">
        <f t="shared" si="2"/>
        <v>279</v>
      </c>
    </row>
    <row r="179" spans="1:4" x14ac:dyDescent="0.3">
      <c r="A179" s="12">
        <f>raw!I199</f>
        <v>18.666666666666668</v>
      </c>
      <c r="B179" s="12">
        <f>raw!N199</f>
        <v>-5.5614590404656576</v>
      </c>
      <c r="D179" s="12">
        <f t="shared" si="2"/>
        <v>280</v>
      </c>
    </row>
    <row r="180" spans="1:4" x14ac:dyDescent="0.3">
      <c r="A180" s="12">
        <f>raw!I200</f>
        <v>18.733333333333334</v>
      </c>
      <c r="B180" s="12">
        <f>raw!N200</f>
        <v>-3.6240395981845621</v>
      </c>
      <c r="D180" s="12">
        <f t="shared" si="2"/>
        <v>281</v>
      </c>
    </row>
    <row r="181" spans="1:4" x14ac:dyDescent="0.3">
      <c r="A181" s="12">
        <f>raw!I201</f>
        <v>18.8</v>
      </c>
      <c r="B181" s="12">
        <f>raw!N201</f>
        <v>-1.6771846191304471</v>
      </c>
      <c r="D181" s="12">
        <f t="shared" si="2"/>
        <v>282</v>
      </c>
    </row>
    <row r="182" spans="1:4" x14ac:dyDescent="0.3">
      <c r="A182" s="12">
        <f>raw!I202</f>
        <v>18.866666666666667</v>
      </c>
      <c r="B182" s="12">
        <f>raw!N202</f>
        <v>0.27406158088232896</v>
      </c>
      <c r="D182" s="12">
        <f t="shared" si="2"/>
        <v>283</v>
      </c>
    </row>
    <row r="183" spans="1:4" x14ac:dyDescent="0.3">
      <c r="A183" s="12">
        <f>raw!I203</f>
        <v>18.933333333333334</v>
      </c>
      <c r="B183" s="12">
        <f>raw!N203</f>
        <v>2.224589164866889</v>
      </c>
      <c r="D183" s="12">
        <f t="shared" si="2"/>
        <v>284</v>
      </c>
    </row>
    <row r="184" spans="1:4" x14ac:dyDescent="0.3">
      <c r="A184" s="12">
        <f>raw!I204</f>
        <v>19</v>
      </c>
      <c r="B184" s="12">
        <f>raw!N204</f>
        <v>4.1692990472301314</v>
      </c>
      <c r="D184" s="12">
        <f t="shared" si="2"/>
        <v>285</v>
      </c>
    </row>
    <row r="185" spans="1:4" x14ac:dyDescent="0.3">
      <c r="A185" s="12">
        <f>raw!I205</f>
        <v>19.066666666666666</v>
      </c>
      <c r="B185" s="12">
        <f>raw!N205</f>
        <v>6.1031787653556595</v>
      </c>
      <c r="D185" s="12">
        <f t="shared" si="2"/>
        <v>286</v>
      </c>
    </row>
    <row r="186" spans="1:4" x14ac:dyDescent="0.3">
      <c r="A186" s="12">
        <f>raw!I206</f>
        <v>19.133333333333333</v>
      </c>
      <c r="B186" s="12">
        <f>raw!N206</f>
        <v>8.0213751426205455</v>
      </c>
      <c r="D186" s="12">
        <f t="shared" si="2"/>
        <v>287</v>
      </c>
    </row>
    <row r="187" spans="1:4" x14ac:dyDescent="0.3">
      <c r="A187" s="12">
        <f>raw!I207</f>
        <v>19.2</v>
      </c>
      <c r="B187" s="12">
        <f>raw!N207</f>
        <v>9.919261154715544</v>
      </c>
      <c r="D187" s="12">
        <f t="shared" si="2"/>
        <v>288</v>
      </c>
    </row>
    <row r="188" spans="1:4" x14ac:dyDescent="0.3">
      <c r="A188" s="12">
        <f>raw!I208</f>
        <v>19.266666666666666</v>
      </c>
      <c r="B188" s="12">
        <f>raw!N208</f>
        <v>11.792494798563693</v>
      </c>
      <c r="D188" s="12">
        <f t="shared" si="2"/>
        <v>289</v>
      </c>
    </row>
    <row r="189" spans="1:4" x14ac:dyDescent="0.3">
      <c r="A189" s="12">
        <f>raw!I209</f>
        <v>19.333333333333332</v>
      </c>
      <c r="B189" s="12">
        <f>raw!N209</f>
        <v>13.637068277672668</v>
      </c>
      <c r="D189" s="12">
        <f t="shared" si="2"/>
        <v>290</v>
      </c>
    </row>
    <row r="190" spans="1:4" x14ac:dyDescent="0.3">
      <c r="A190" s="12">
        <f>raw!I210</f>
        <v>19.399999999999999</v>
      </c>
      <c r="B190" s="12">
        <f>raw!N210</f>
        <v>15.449346407706056</v>
      </c>
      <c r="D190" s="12">
        <f t="shared" si="2"/>
        <v>291</v>
      </c>
    </row>
    <row r="191" spans="1:4" x14ac:dyDescent="0.3">
      <c r="A191" s="12">
        <f>raw!I211</f>
        <v>19.466666666666665</v>
      </c>
      <c r="B191" s="12">
        <f>raw!N211</f>
        <v>17.226093756235048</v>
      </c>
      <c r="D191" s="12">
        <f t="shared" si="2"/>
        <v>292</v>
      </c>
    </row>
    <row r="192" spans="1:4" x14ac:dyDescent="0.3">
      <c r="A192" s="12">
        <f>raw!I212</f>
        <v>19.533333333333335</v>
      </c>
      <c r="B192" s="12">
        <f>raw!N212</f>
        <v>18.964490609558226</v>
      </c>
      <c r="D192" s="12">
        <f t="shared" si="2"/>
        <v>293</v>
      </c>
    </row>
    <row r="193" spans="1:4" x14ac:dyDescent="0.3">
      <c r="A193" s="12">
        <f>raw!I213</f>
        <v>19.600000000000001</v>
      </c>
      <c r="B193" s="12">
        <f>raw!N213</f>
        <v>20.662138365138691</v>
      </c>
      <c r="D193" s="12">
        <f t="shared" si="2"/>
        <v>294</v>
      </c>
    </row>
    <row r="194" spans="1:4" x14ac:dyDescent="0.3">
      <c r="A194" s="12">
        <f>raw!I214</f>
        <v>19.666666666666668</v>
      </c>
      <c r="B194" s="12">
        <f>raw!N214</f>
        <v>22.31705535164134</v>
      </c>
      <c r="D194" s="12">
        <f t="shared" si="2"/>
        <v>295</v>
      </c>
    </row>
    <row r="195" spans="1:4" x14ac:dyDescent="0.3">
      <c r="A195" s="12">
        <f>raw!I215</f>
        <v>19.733333333333334</v>
      </c>
      <c r="B195" s="12">
        <f>raw!N215</f>
        <v>23.927664365034847</v>
      </c>
      <c r="D195" s="12">
        <f t="shared" ref="D195:D258" si="3">15*(INT(A195)+MOD(A195,1))</f>
        <v>296</v>
      </c>
    </row>
    <row r="196" spans="1:4" x14ac:dyDescent="0.3">
      <c r="A196" s="12">
        <f>raw!I216</f>
        <v>19.8</v>
      </c>
      <c r="B196" s="12">
        <f>raw!N216</f>
        <v>25.492773377324379</v>
      </c>
      <c r="D196" s="12">
        <f t="shared" si="3"/>
        <v>297</v>
      </c>
    </row>
    <row r="197" spans="1:4" x14ac:dyDescent="0.3">
      <c r="A197" s="12">
        <f>raw!I217</f>
        <v>19.866666666666667</v>
      </c>
      <c r="B197" s="12">
        <f>raw!N217</f>
        <v>27.011550933587536</v>
      </c>
      <c r="D197" s="12">
        <f t="shared" si="3"/>
        <v>298</v>
      </c>
    </row>
    <row r="198" spans="1:4" x14ac:dyDescent="0.3">
      <c r="A198" s="12">
        <f>raw!I218</f>
        <v>19.933333333333334</v>
      </c>
      <c r="B198" s="12">
        <f>raw!N218</f>
        <v>28.483497719981845</v>
      </c>
      <c r="D198" s="12">
        <f t="shared" si="3"/>
        <v>299</v>
      </c>
    </row>
    <row r="199" spans="1:4" x14ac:dyDescent="0.3">
      <c r="A199" s="12">
        <f>raw!I219</f>
        <v>20</v>
      </c>
      <c r="B199" s="12">
        <f>raw!N219</f>
        <v>29.908415681233123</v>
      </c>
      <c r="D199" s="12">
        <f t="shared" si="3"/>
        <v>300</v>
      </c>
    </row>
    <row r="200" spans="1:4" x14ac:dyDescent="0.3">
      <c r="A200" s="12">
        <f>raw!I220</f>
        <v>20.066666666666666</v>
      </c>
      <c r="B200" s="12">
        <f>raw!N220</f>
        <v>31.286375912753908</v>
      </c>
      <c r="D200" s="12">
        <f t="shared" si="3"/>
        <v>301</v>
      </c>
    </row>
    <row r="201" spans="1:4" x14ac:dyDescent="0.3">
      <c r="A201" s="12">
        <f>raw!I221</f>
        <v>20.133333333333333</v>
      </c>
      <c r="B201" s="12">
        <f>raw!N221</f>
        <v>32.617686370575804</v>
      </c>
      <c r="D201" s="12">
        <f t="shared" si="3"/>
        <v>302</v>
      </c>
    </row>
    <row r="202" spans="1:4" x14ac:dyDescent="0.3">
      <c r="A202" s="12">
        <f>raw!I222</f>
        <v>20.2</v>
      </c>
      <c r="B202" s="12">
        <f>raw!N222</f>
        <v>33.902860249385711</v>
      </c>
      <c r="D202" s="12">
        <f t="shared" si="3"/>
        <v>303</v>
      </c>
    </row>
    <row r="203" spans="1:4" x14ac:dyDescent="0.3">
      <c r="A203" s="12">
        <f>raw!I223</f>
        <v>20.266666666666666</v>
      </c>
      <c r="B203" s="12">
        <f>raw!N223</f>
        <v>35.142585689093544</v>
      </c>
      <c r="D203" s="12">
        <f t="shared" si="3"/>
        <v>304</v>
      </c>
    </row>
    <row r="204" spans="1:4" x14ac:dyDescent="0.3">
      <c r="A204" s="12">
        <f>raw!I224</f>
        <v>20.333333333333332</v>
      </c>
      <c r="B204" s="12">
        <f>raw!N224</f>
        <v>36.337697293601686</v>
      </c>
      <c r="D204" s="12">
        <f t="shared" si="3"/>
        <v>305</v>
      </c>
    </row>
    <row r="205" spans="1:4" x14ac:dyDescent="0.3">
      <c r="A205" s="12">
        <f>raw!I225</f>
        <v>20.399999999999999</v>
      </c>
      <c r="B205" s="12">
        <f>raw!N225</f>
        <v>37.489149788252462</v>
      </c>
      <c r="D205" s="12">
        <f t="shared" si="3"/>
        <v>306</v>
      </c>
    </row>
    <row r="206" spans="1:4" x14ac:dyDescent="0.3">
      <c r="A206" s="12">
        <f>raw!I226</f>
        <v>20.466666666666665</v>
      </c>
      <c r="B206" s="12">
        <f>raw!N226</f>
        <v>38.597994008181495</v>
      </c>
      <c r="D206" s="12">
        <f t="shared" si="3"/>
        <v>307</v>
      </c>
    </row>
    <row r="207" spans="1:4" x14ac:dyDescent="0.3">
      <c r="A207" s="12">
        <f>raw!I227</f>
        <v>20.533333333333335</v>
      </c>
      <c r="B207" s="12">
        <f>raw!N227</f>
        <v>39.66535529946794</v>
      </c>
      <c r="D207" s="12">
        <f t="shared" si="3"/>
        <v>308</v>
      </c>
    </row>
    <row r="208" spans="1:4" x14ac:dyDescent="0.3">
      <c r="A208" s="12">
        <f>raw!I228</f>
        <v>20.6</v>
      </c>
      <c r="B208" s="12">
        <f>raw!N228</f>
        <v>40.69241432775452</v>
      </c>
      <c r="D208" s="12">
        <f t="shared" si="3"/>
        <v>309</v>
      </c>
    </row>
    <row r="209" spans="1:4" x14ac:dyDescent="0.3">
      <c r="A209" s="12">
        <f>raw!I229</f>
        <v>20.666666666666668</v>
      </c>
      <c r="B209" s="12">
        <f>raw!N229</f>
        <v>41.680390222968207</v>
      </c>
      <c r="D209" s="12">
        <f t="shared" si="3"/>
        <v>310</v>
      </c>
    </row>
    <row r="210" spans="1:4" x14ac:dyDescent="0.3">
      <c r="A210" s="12">
        <f>raw!I230</f>
        <v>20.733333333333334</v>
      </c>
      <c r="B210" s="12">
        <f>raw!N230</f>
        <v>42.630525941300988</v>
      </c>
      <c r="D210" s="12">
        <f t="shared" si="3"/>
        <v>311</v>
      </c>
    </row>
    <row r="211" spans="1:4" x14ac:dyDescent="0.3">
      <c r="A211" s="12">
        <f>raw!I231</f>
        <v>20.8</v>
      </c>
      <c r="B211" s="12">
        <f>raw!N231</f>
        <v>43.544075693835829</v>
      </c>
      <c r="D211" s="12">
        <f t="shared" si="3"/>
        <v>312</v>
      </c>
    </row>
    <row r="212" spans="1:4" x14ac:dyDescent="0.3">
      <c r="A212" s="12">
        <f>raw!I232</f>
        <v>20.866666666666667</v>
      </c>
      <c r="B212" s="12">
        <f>raw!N232</f>
        <v>44.422294272247498</v>
      </c>
      <c r="D212" s="12">
        <f t="shared" si="3"/>
        <v>313</v>
      </c>
    </row>
    <row r="213" spans="1:4" x14ac:dyDescent="0.3">
      <c r="A213" s="12">
        <f>raw!I233</f>
        <v>20.933333333333334</v>
      </c>
      <c r="B213" s="12">
        <f>raw!N233</f>
        <v>45.266428093187557</v>
      </c>
      <c r="D213" s="12">
        <f t="shared" si="3"/>
        <v>314</v>
      </c>
    </row>
    <row r="214" spans="1:4" x14ac:dyDescent="0.3">
      <c r="A214" s="12">
        <f>raw!I234</f>
        <v>21</v>
      </c>
      <c r="B214" s="12">
        <f>raw!N234</f>
        <v>46.077707781869861</v>
      </c>
      <c r="D214" s="12">
        <f t="shared" si="3"/>
        <v>315</v>
      </c>
    </row>
    <row r="215" spans="1:4" x14ac:dyDescent="0.3">
      <c r="A215" s="12">
        <f>raw!I235</f>
        <v>21.066666666666666</v>
      </c>
      <c r="B215" s="12">
        <f>raw!N235</f>
        <v>46.857342119953479</v>
      </c>
      <c r="D215" s="12">
        <f t="shared" si="3"/>
        <v>316</v>
      </c>
    </row>
    <row r="216" spans="1:4" x14ac:dyDescent="0.3">
      <c r="A216" s="12">
        <f>raw!I236</f>
        <v>21.133333333333333</v>
      </c>
      <c r="B216" s="12">
        <f>raw!N236</f>
        <v>47.606513191353187</v>
      </c>
      <c r="D216" s="12">
        <f t="shared" si="3"/>
        <v>317</v>
      </c>
    </row>
    <row r="217" spans="1:4" x14ac:dyDescent="0.3">
      <c r="A217" s="12">
        <f>raw!I237</f>
        <v>21.2</v>
      </c>
      <c r="B217" s="12">
        <f>raw!N237</f>
        <v>48.326372570715989</v>
      </c>
      <c r="D217" s="12">
        <f t="shared" si="3"/>
        <v>318</v>
      </c>
    </row>
    <row r="218" spans="1:4" x14ac:dyDescent="0.3">
      <c r="A218" s="12">
        <f>raw!I238</f>
        <v>21.266666666666666</v>
      </c>
      <c r="B218" s="12">
        <f>raw!N238</f>
        <v>49.018038411896519</v>
      </c>
      <c r="D218" s="12">
        <f t="shared" si="3"/>
        <v>319</v>
      </c>
    </row>
    <row r="219" spans="1:4" x14ac:dyDescent="0.3">
      <c r="A219" s="12">
        <f>raw!I239</f>
        <v>21.333333333333332</v>
      </c>
      <c r="B219" s="12">
        <f>raw!N239</f>
        <v>49.682593307019573</v>
      </c>
      <c r="D219" s="12">
        <f t="shared" si="3"/>
        <v>320</v>
      </c>
    </row>
    <row r="220" spans="1:4" x14ac:dyDescent="0.3">
      <c r="A220" s="12">
        <f>raw!I240</f>
        <v>21.4</v>
      </c>
      <c r="B220" s="12">
        <f>raw!N240</f>
        <v>50.321082800025302</v>
      </c>
      <c r="D220" s="12">
        <f t="shared" si="3"/>
        <v>321</v>
      </c>
    </row>
    <row r="221" spans="1:4" x14ac:dyDescent="0.3">
      <c r="A221" s="12">
        <f>raw!I241</f>
        <v>21.466666666666665</v>
      </c>
      <c r="B221" s="12">
        <f>raw!N241</f>
        <v>50.934514451516542</v>
      </c>
      <c r="D221" s="12">
        <f t="shared" si="3"/>
        <v>322</v>
      </c>
    </row>
    <row r="222" spans="1:4" x14ac:dyDescent="0.3">
      <c r="A222" s="12">
        <f>raw!I242</f>
        <v>21.533333333333335</v>
      </c>
      <c r="B222" s="12">
        <f>raw!N242</f>
        <v>51.523857363981293</v>
      </c>
      <c r="D222" s="12">
        <f t="shared" si="3"/>
        <v>323</v>
      </c>
    </row>
    <row r="223" spans="1:4" x14ac:dyDescent="0.3">
      <c r="A223" s="12">
        <f>raw!I243</f>
        <v>21.6</v>
      </c>
      <c r="B223" s="12">
        <f>raw!N243</f>
        <v>52.090042087859622</v>
      </c>
      <c r="D223" s="12">
        <f t="shared" si="3"/>
        <v>324</v>
      </c>
    </row>
    <row r="224" spans="1:4" x14ac:dyDescent="0.3">
      <c r="A224" s="12">
        <f>raw!I244</f>
        <v>21.666666666666668</v>
      </c>
      <c r="B224" s="12">
        <f>raw!N244</f>
        <v>52.633960839369486</v>
      </c>
      <c r="D224" s="12">
        <f t="shared" si="3"/>
        <v>325</v>
      </c>
    </row>
    <row r="225" spans="1:4" x14ac:dyDescent="0.3">
      <c r="A225" s="12">
        <f>raw!I245</f>
        <v>21.733333333333334</v>
      </c>
      <c r="B225" s="12">
        <f>raw!N245</f>
        <v>53.15646797045828</v>
      </c>
      <c r="D225" s="12">
        <f t="shared" si="3"/>
        <v>326</v>
      </c>
    </row>
    <row r="226" spans="1:4" x14ac:dyDescent="0.3">
      <c r="A226" s="12">
        <f>raw!I246</f>
        <v>21.8</v>
      </c>
      <c r="B226" s="12">
        <f>raw!N246</f>
        <v>53.658380639716547</v>
      </c>
      <c r="D226" s="12">
        <f t="shared" si="3"/>
        <v>327</v>
      </c>
    </row>
    <row r="227" spans="1:4" x14ac:dyDescent="0.3">
      <c r="A227" s="12">
        <f>raw!I247</f>
        <v>21.866666666666667</v>
      </c>
      <c r="B227" s="12">
        <f>raw!N247</f>
        <v>54.140479640609833</v>
      </c>
      <c r="D227" s="12">
        <f t="shared" si="3"/>
        <v>328</v>
      </c>
    </row>
    <row r="228" spans="1:4" x14ac:dyDescent="0.3">
      <c r="A228" s="12">
        <f>raw!I248</f>
        <v>21.933333333333334</v>
      </c>
      <c r="B228" s="12">
        <f>raw!N248</f>
        <v>54.603510350013238</v>
      </c>
      <c r="D228" s="12">
        <f t="shared" si="3"/>
        <v>329</v>
      </c>
    </row>
    <row r="229" spans="1:4" x14ac:dyDescent="0.3">
      <c r="A229" s="12">
        <f>raw!I249</f>
        <v>22</v>
      </c>
      <c r="B229" s="12">
        <f>raw!N249</f>
        <v>55.04818376583566</v>
      </c>
      <c r="D229" s="12">
        <f t="shared" si="3"/>
        <v>330</v>
      </c>
    </row>
    <row r="230" spans="1:4" x14ac:dyDescent="0.3">
      <c r="A230" s="12">
        <f>raw!I250</f>
        <v>22.066666666666666</v>
      </c>
      <c r="B230" s="12">
        <f>raw!N250</f>
        <v>55.475177607569876</v>
      </c>
      <c r="D230" s="12">
        <f t="shared" si="3"/>
        <v>331</v>
      </c>
    </row>
    <row r="231" spans="1:4" x14ac:dyDescent="0.3">
      <c r="A231" s="12">
        <f>raw!I251</f>
        <v>22.133333333333333</v>
      </c>
      <c r="B231" s="12">
        <f>raw!N251</f>
        <v>55.885137457976569</v>
      </c>
      <c r="D231" s="12">
        <f t="shared" si="3"/>
        <v>332</v>
      </c>
    </row>
    <row r="232" spans="1:4" x14ac:dyDescent="0.3">
      <c r="A232" s="12">
        <f>raw!I252</f>
        <v>22.2</v>
      </c>
      <c r="B232" s="12">
        <f>raw!N252</f>
        <v>56.278677927874483</v>
      </c>
      <c r="D232" s="12">
        <f t="shared" si="3"/>
        <v>333</v>
      </c>
    </row>
    <row r="233" spans="1:4" x14ac:dyDescent="0.3">
      <c r="A233" s="12">
        <f>raw!I253</f>
        <v>22.266666666666666</v>
      </c>
      <c r="B233" s="12">
        <f>raw!N253</f>
        <v>56.656383829237399</v>
      </c>
      <c r="D233" s="12">
        <f t="shared" si="3"/>
        <v>334</v>
      </c>
    </row>
    <row r="234" spans="1:4" x14ac:dyDescent="0.3">
      <c r="A234" s="12">
        <f>raw!I254</f>
        <v>22.333333333333332</v>
      </c>
      <c r="B234" s="12">
        <f>raw!N254</f>
        <v>57.018811344553093</v>
      </c>
      <c r="D234" s="12">
        <f t="shared" si="3"/>
        <v>335</v>
      </c>
    </row>
    <row r="235" spans="1:4" x14ac:dyDescent="0.3">
      <c r="A235" s="12">
        <f>raw!I255</f>
        <v>22.4</v>
      </c>
      <c r="B235" s="12">
        <f>raw!N255</f>
        <v>57.366489182741397</v>
      </c>
      <c r="D235" s="12">
        <f t="shared" si="3"/>
        <v>336</v>
      </c>
    </row>
    <row r="236" spans="1:4" x14ac:dyDescent="0.3">
      <c r="A236" s="12">
        <f>raw!I256</f>
        <v>22.466666666666665</v>
      </c>
      <c r="B236" s="12">
        <f>raw!N256</f>
        <v>57.699919713909615</v>
      </c>
      <c r="D236" s="12">
        <f t="shared" si="3"/>
        <v>337</v>
      </c>
    </row>
    <row r="237" spans="1:4" x14ac:dyDescent="0.3">
      <c r="A237" s="12">
        <f>raw!I257</f>
        <v>22.533333333333335</v>
      </c>
      <c r="B237" s="12">
        <f>raw!N257</f>
        <v>58.019580076893469</v>
      </c>
      <c r="D237" s="12">
        <f t="shared" si="3"/>
        <v>338</v>
      </c>
    </row>
    <row r="238" spans="1:4" x14ac:dyDescent="0.3">
      <c r="A238" s="12">
        <f>raw!I258</f>
        <v>22.6</v>
      </c>
      <c r="B238" s="12">
        <f>raw!N258</f>
        <v>58.325923254931794</v>
      </c>
      <c r="D238" s="12">
        <f t="shared" si="3"/>
        <v>339</v>
      </c>
    </row>
    <row r="239" spans="1:4" x14ac:dyDescent="0.3">
      <c r="A239" s="12">
        <f>raw!I259</f>
        <v>22.666666666666668</v>
      </c>
      <c r="B239" s="12">
        <f>raw!N259</f>
        <v>58.619379115992686</v>
      </c>
      <c r="D239" s="12">
        <f t="shared" si="3"/>
        <v>340</v>
      </c>
    </row>
    <row r="240" spans="1:4" x14ac:dyDescent="0.3">
      <c r="A240" s="12">
        <f>raw!I260</f>
        <v>22.733333333333334</v>
      </c>
      <c r="B240" s="12">
        <f>raw!N260</f>
        <v>58.900355415239595</v>
      </c>
      <c r="D240" s="12">
        <f t="shared" si="3"/>
        <v>341</v>
      </c>
    </row>
    <row r="241" spans="1:4" x14ac:dyDescent="0.3">
      <c r="A241" s="12">
        <f>raw!I261</f>
        <v>22.8</v>
      </c>
      <c r="B241" s="12">
        <f>raw!N261</f>
        <v>59.169238757927403</v>
      </c>
      <c r="D241" s="12">
        <f t="shared" si="3"/>
        <v>342</v>
      </c>
    </row>
    <row r="242" spans="1:4" x14ac:dyDescent="0.3">
      <c r="A242" s="12">
        <f>raw!I262</f>
        <v>22.866666666666667</v>
      </c>
      <c r="B242" s="12">
        <f>raw!N262</f>
        <v>59.426395521676618</v>
      </c>
      <c r="D242" s="12">
        <f t="shared" si="3"/>
        <v>343</v>
      </c>
    </row>
    <row r="243" spans="1:4" x14ac:dyDescent="0.3">
      <c r="A243" s="12">
        <f>raw!I263</f>
        <v>22.933333333333334</v>
      </c>
      <c r="B243" s="12">
        <f>raw!N263</f>
        <v>59.672172737609095</v>
      </c>
      <c r="D243" s="12">
        <f t="shared" si="3"/>
        <v>344</v>
      </c>
    </row>
    <row r="244" spans="1:4" x14ac:dyDescent="0.3">
      <c r="A244" s="12">
        <f>raw!I264</f>
        <v>23</v>
      </c>
      <c r="B244" s="12">
        <f>raw!N264</f>
        <v>59.90689893026105</v>
      </c>
      <c r="D244" s="12">
        <f t="shared" si="3"/>
        <v>345</v>
      </c>
    </row>
    <row r="245" spans="1:4" x14ac:dyDescent="0.3">
      <c r="A245" s="12">
        <f>raw!I265</f>
        <v>23.066666666666666</v>
      </c>
      <c r="B245" s="12">
        <f>raw!N265</f>
        <v>60.130884916533709</v>
      </c>
      <c r="D245" s="12">
        <f t="shared" si="3"/>
        <v>346</v>
      </c>
    </row>
    <row r="246" spans="1:4" x14ac:dyDescent="0.3">
      <c r="A246" s="12">
        <f>raw!I266</f>
        <v>23.133333333333333</v>
      </c>
      <c r="B246" s="12">
        <f>raw!N266</f>
        <v>60.344424564214385</v>
      </c>
      <c r="D246" s="12">
        <f t="shared" si="3"/>
        <v>347</v>
      </c>
    </row>
    <row r="247" spans="1:4" x14ac:dyDescent="0.3">
      <c r="A247" s="12">
        <f>raw!I267</f>
        <v>23.2</v>
      </c>
      <c r="B247" s="12">
        <f>raw!N267</f>
        <v>60.547795510809955</v>
      </c>
      <c r="D247" s="12">
        <f t="shared" si="3"/>
        <v>348</v>
      </c>
    </row>
    <row r="248" spans="1:4" x14ac:dyDescent="0.3">
      <c r="A248" s="12">
        <f>raw!I268</f>
        <v>23.266666666666666</v>
      </c>
      <c r="B248" s="12">
        <f>raw!N268</f>
        <v>60.741259843594541</v>
      </c>
      <c r="D248" s="12">
        <f t="shared" si="3"/>
        <v>349</v>
      </c>
    </row>
    <row r="249" spans="1:4" x14ac:dyDescent="0.3">
      <c r="A249" s="12">
        <f>raw!I269</f>
        <v>23.333333333333332</v>
      </c>
      <c r="B249" s="12">
        <f>raw!N269</f>
        <v>60.92506474188869</v>
      </c>
      <c r="D249" s="12">
        <f t="shared" si="3"/>
        <v>350</v>
      </c>
    </row>
    <row r="250" spans="1:4" x14ac:dyDescent="0.3">
      <c r="A250" s="12">
        <f>raw!I270</f>
        <v>23.4</v>
      </c>
      <c r="B250" s="12">
        <f>raw!N270</f>
        <v>61.099443082668344</v>
      </c>
      <c r="D250" s="12">
        <f t="shared" si="3"/>
        <v>351</v>
      </c>
    </row>
    <row r="251" spans="1:4" x14ac:dyDescent="0.3">
      <c r="A251" s="12">
        <f>raw!I271</f>
        <v>23.466666666666665</v>
      </c>
      <c r="B251" s="12">
        <f>raw!N271</f>
        <v>61.264614010653375</v>
      </c>
      <c r="D251" s="12">
        <f t="shared" si="3"/>
        <v>352</v>
      </c>
    </row>
    <row r="252" spans="1:4" x14ac:dyDescent="0.3">
      <c r="A252" s="12">
        <f>raw!I272</f>
        <v>23.533333333333335</v>
      </c>
      <c r="B252" s="12">
        <f>raw!N272</f>
        <v>61.420783474052747</v>
      </c>
      <c r="D252" s="12">
        <f t="shared" si="3"/>
        <v>353</v>
      </c>
    </row>
    <row r="253" spans="1:4" x14ac:dyDescent="0.3">
      <c r="A253" s="12">
        <f>raw!I273</f>
        <v>23.6</v>
      </c>
      <c r="B253" s="12">
        <f>raw!N273</f>
        <v>61.568144727151342</v>
      </c>
      <c r="D253" s="12">
        <f t="shared" si="3"/>
        <v>354</v>
      </c>
    </row>
    <row r="254" spans="1:4" x14ac:dyDescent="0.3">
      <c r="A254" s="12">
        <f>raw!I274</f>
        <v>23.666666666666668</v>
      </c>
      <c r="B254" s="12">
        <f>raw!N274</f>
        <v>61.706878800915106</v>
      </c>
      <c r="D254" s="12">
        <f t="shared" si="3"/>
        <v>355</v>
      </c>
    </row>
    <row r="255" spans="1:4" x14ac:dyDescent="0.3">
      <c r="A255" s="12">
        <f>raw!I275</f>
        <v>23.733333333333334</v>
      </c>
      <c r="B255" s="12">
        <f>raw!N275</f>
        <v>61.837154942770553</v>
      </c>
      <c r="D255" s="12">
        <f t="shared" si="3"/>
        <v>356</v>
      </c>
    </row>
    <row r="256" spans="1:4" x14ac:dyDescent="0.3">
      <c r="A256" s="12">
        <f>raw!I276</f>
        <v>23.8</v>
      </c>
      <c r="B256" s="12">
        <f>raw!N276</f>
        <v>61.959131026682897</v>
      </c>
      <c r="D256" s="12">
        <f t="shared" si="3"/>
        <v>357</v>
      </c>
    </row>
    <row r="257" spans="1:4" x14ac:dyDescent="0.3">
      <c r="A257" s="12">
        <f>raw!I277</f>
        <v>23.866666666666667</v>
      </c>
      <c r="B257" s="12">
        <f>raw!N277</f>
        <v>62.072953934617928</v>
      </c>
      <c r="D257" s="12">
        <f t="shared" si="3"/>
        <v>358</v>
      </c>
    </row>
    <row r="258" spans="1:4" x14ac:dyDescent="0.3">
      <c r="A258" s="12">
        <f>raw!I278</f>
        <v>23.933333333333334</v>
      </c>
      <c r="B258" s="12">
        <f>raw!N278</f>
        <v>62.178759910426976</v>
      </c>
      <c r="D258" s="12">
        <f t="shared" si="3"/>
        <v>359</v>
      </c>
    </row>
    <row r="259" spans="1:4" x14ac:dyDescent="0.3">
      <c r="A259" s="12">
        <f>raw!I279</f>
        <v>0</v>
      </c>
      <c r="B259" s="12">
        <f>raw!N279</f>
        <v>62.276674887143415</v>
      </c>
      <c r="D259" s="12">
        <f t="shared" ref="D259:D322" si="4">15*(INT(A259)+MOD(A259,1))</f>
        <v>0</v>
      </c>
    </row>
    <row r="260" spans="1:4" x14ac:dyDescent="0.3">
      <c r="A260" s="12">
        <f>raw!I280</f>
        <v>6.6666666666666666E-2</v>
      </c>
      <c r="B260" s="12">
        <f>raw!N280</f>
        <v>62.366814788624716</v>
      </c>
      <c r="D260" s="12">
        <f t="shared" si="4"/>
        <v>1</v>
      </c>
    </row>
    <row r="261" spans="1:4" x14ac:dyDescent="0.3">
      <c r="A261" s="12">
        <f>raw!I281</f>
        <v>0.13333333333333333</v>
      </c>
      <c r="B261" s="12">
        <f>raw!N281</f>
        <v>62.449285806417073</v>
      </c>
      <c r="D261" s="12">
        <f t="shared" si="4"/>
        <v>2</v>
      </c>
    </row>
    <row r="262" spans="1:4" x14ac:dyDescent="0.3">
      <c r="A262" s="12">
        <f>raw!I282</f>
        <v>0.2</v>
      </c>
      <c r="B262" s="12">
        <f>raw!N282</f>
        <v>62.524184652660146</v>
      </c>
      <c r="D262" s="12">
        <f t="shared" si="4"/>
        <v>3</v>
      </c>
    </row>
    <row r="263" spans="1:4" x14ac:dyDescent="0.3">
      <c r="A263" s="12">
        <f>raw!I283</f>
        <v>0.26666666666666666</v>
      </c>
      <c r="B263" s="12">
        <f>raw!N283</f>
        <v>62.591598789789167</v>
      </c>
      <c r="D263" s="12">
        <f t="shared" si="4"/>
        <v>4</v>
      </c>
    </row>
    <row r="264" spans="1:4" x14ac:dyDescent="0.3">
      <c r="A264" s="12">
        <f>raw!I284</f>
        <v>0.33333333333333331</v>
      </c>
      <c r="B264" s="12">
        <f>raw!N284</f>
        <v>62.65160663773036</v>
      </c>
      <c r="D264" s="12">
        <f t="shared" si="4"/>
        <v>5</v>
      </c>
    </row>
    <row r="265" spans="1:4" x14ac:dyDescent="0.3">
      <c r="A265" s="12">
        <f>raw!I285</f>
        <v>0.4</v>
      </c>
      <c r="B265" s="12">
        <f>raw!N285</f>
        <v>62.704277759223373</v>
      </c>
      <c r="D265" s="12">
        <f t="shared" si="4"/>
        <v>6</v>
      </c>
    </row>
    <row r="266" spans="1:4" x14ac:dyDescent="0.3">
      <c r="A266" s="12">
        <f>raw!I286</f>
        <v>0.46666666666666667</v>
      </c>
      <c r="B266" s="12">
        <f>raw!N286</f>
        <v>62.749673023842782</v>
      </c>
      <c r="D266" s="12">
        <f t="shared" si="4"/>
        <v>7</v>
      </c>
    </row>
    <row r="267" spans="1:4" x14ac:dyDescent="0.3">
      <c r="A267" s="12">
        <f>raw!I287</f>
        <v>0.53333333333333333</v>
      </c>
      <c r="B267" s="12">
        <f>raw!N287</f>
        <v>62.787844751228619</v>
      </c>
      <c r="D267" s="12">
        <f t="shared" si="4"/>
        <v>8</v>
      </c>
    </row>
    <row r="268" spans="1:4" x14ac:dyDescent="0.3">
      <c r="A268" s="12">
        <f>raw!I288</f>
        <v>0.6</v>
      </c>
      <c r="B268" s="12">
        <f>raw!N288</f>
        <v>62.818836833973599</v>
      </c>
      <c r="D268" s="12">
        <f t="shared" si="4"/>
        <v>9</v>
      </c>
    </row>
    <row r="269" spans="1:4" x14ac:dyDescent="0.3">
      <c r="A269" s="12">
        <f>raw!I289</f>
        <v>0.66666666666666663</v>
      </c>
      <c r="B269" s="12">
        <f>raw!N289</f>
        <v>62.842684840553723</v>
      </c>
      <c r="D269" s="12">
        <f t="shared" si="4"/>
        <v>10</v>
      </c>
    </row>
    <row r="270" spans="1:4" x14ac:dyDescent="0.3">
      <c r="A270" s="12">
        <f>raw!I290</f>
        <v>0.73333333333333328</v>
      </c>
      <c r="B270" s="12">
        <f>raw!N290</f>
        <v>62.859416098626816</v>
      </c>
      <c r="D270" s="12">
        <f t="shared" si="4"/>
        <v>11</v>
      </c>
    </row>
    <row r="271" spans="1:4" x14ac:dyDescent="0.3">
      <c r="A271" s="12">
        <f>raw!I291</f>
        <v>0.8</v>
      </c>
      <c r="B271" s="12">
        <f>raw!N291</f>
        <v>62.869049758963108</v>
      </c>
      <c r="D271" s="12">
        <f t="shared" si="4"/>
        <v>12</v>
      </c>
    </row>
    <row r="272" spans="1:4" x14ac:dyDescent="0.3">
      <c r="A272" s="12">
        <f>raw!I292</f>
        <v>0.8666666666666667</v>
      </c>
      <c r="B272" s="12">
        <f>raw!N292</f>
        <v>62.871596840210778</v>
      </c>
      <c r="D272" s="12">
        <f t="shared" si="4"/>
        <v>13</v>
      </c>
    </row>
    <row r="273" spans="1:4" x14ac:dyDescent="0.3">
      <c r="A273" s="12">
        <f>raw!I293</f>
        <v>0.93333333333333335</v>
      </c>
      <c r="B273" s="12">
        <f>raw!N293</f>
        <v>62.867060254638822</v>
      </c>
      <c r="D273" s="12">
        <f t="shared" si="4"/>
        <v>14</v>
      </c>
    </row>
    <row r="274" spans="1:4" x14ac:dyDescent="0.3">
      <c r="A274" s="12">
        <f>raw!I294</f>
        <v>1</v>
      </c>
      <c r="B274" s="12">
        <f>raw!N294</f>
        <v>62.855434814939372</v>
      </c>
      <c r="D274" s="12">
        <f t="shared" si="4"/>
        <v>15</v>
      </c>
    </row>
    <row r="275" spans="1:4" x14ac:dyDescent="0.3">
      <c r="A275" s="12">
        <f>raw!I295</f>
        <v>1.0666666666666667</v>
      </c>
      <c r="B275" s="12">
        <f>raw!N295</f>
        <v>62.836707222111023</v>
      </c>
      <c r="D275" s="12">
        <f t="shared" si="4"/>
        <v>16</v>
      </c>
    </row>
    <row r="276" spans="1:4" x14ac:dyDescent="0.3">
      <c r="A276" s="12">
        <f>raw!I296</f>
        <v>1.1333333333333333</v>
      </c>
      <c r="B276" s="12">
        <f>raw!N296</f>
        <v>62.810856034384635</v>
      </c>
      <c r="D276" s="12">
        <f t="shared" si="4"/>
        <v>17</v>
      </c>
    </row>
    <row r="277" spans="1:4" x14ac:dyDescent="0.3">
      <c r="A277" s="12">
        <f>raw!I297</f>
        <v>1.2</v>
      </c>
      <c r="B277" s="12">
        <f>raw!N297</f>
        <v>62.777851617092573</v>
      </c>
      <c r="D277" s="12">
        <f t="shared" si="4"/>
        <v>18</v>
      </c>
    </row>
    <row r="278" spans="1:4" x14ac:dyDescent="0.3">
      <c r="A278" s="12">
        <f>raw!I298</f>
        <v>1.2666666666666666</v>
      </c>
      <c r="B278" s="12">
        <f>raw!N298</f>
        <v>62.737656073322178</v>
      </c>
      <c r="D278" s="12">
        <f t="shared" si="4"/>
        <v>19</v>
      </c>
    </row>
    <row r="279" spans="1:4" x14ac:dyDescent="0.3">
      <c r="A279" s="12">
        <f>raw!I299</f>
        <v>1.3333333333333333</v>
      </c>
      <c r="B279" s="12">
        <f>raw!N299</f>
        <v>62.69022315513304</v>
      </c>
      <c r="D279" s="12">
        <f t="shared" si="4"/>
        <v>20</v>
      </c>
    </row>
    <row r="280" spans="1:4" x14ac:dyDescent="0.3">
      <c r="A280" s="12">
        <f>raw!I300</f>
        <v>1.4</v>
      </c>
      <c r="B280" s="12">
        <f>raw!N300</f>
        <v>62.635498155057469</v>
      </c>
      <c r="D280" s="12">
        <f t="shared" si="4"/>
        <v>21</v>
      </c>
    </row>
    <row r="281" spans="1:4" x14ac:dyDescent="0.3">
      <c r="A281" s="12">
        <f>raw!I301</f>
        <v>1.4666666666666668</v>
      </c>
      <c r="B281" s="12">
        <f>raw!N301</f>
        <v>62.573417777541721</v>
      </c>
      <c r="D281" s="12">
        <f t="shared" si="4"/>
        <v>22</v>
      </c>
    </row>
    <row r="282" spans="1:4" x14ac:dyDescent="0.3">
      <c r="A282" s="12">
        <f>raw!I302</f>
        <v>1.5333333333333332</v>
      </c>
      <c r="B282" s="12">
        <f>raw!N302</f>
        <v>62.503909989924722</v>
      </c>
      <c r="D282" s="12">
        <f t="shared" si="4"/>
        <v>23</v>
      </c>
    </row>
    <row r="283" spans="1:4" x14ac:dyDescent="0.3">
      <c r="A283" s="12">
        <f>raw!I303</f>
        <v>1.6</v>
      </c>
      <c r="B283" s="12">
        <f>raw!N303</f>
        <v>62.426893852488639</v>
      </c>
      <c r="D283" s="12">
        <f t="shared" si="4"/>
        <v>24</v>
      </c>
    </row>
    <row r="284" spans="1:4" x14ac:dyDescent="0.3">
      <c r="A284" s="12">
        <f>raw!I304</f>
        <v>1.6666666666666665</v>
      </c>
      <c r="B284" s="12">
        <f>raw!N304</f>
        <v>62.342279327054179</v>
      </c>
      <c r="D284" s="12">
        <f t="shared" si="4"/>
        <v>24.999999999999996</v>
      </c>
    </row>
    <row r="285" spans="1:4" x14ac:dyDescent="0.3">
      <c r="A285" s="12">
        <f>raw!I305</f>
        <v>1.7333333333333334</v>
      </c>
      <c r="B285" s="12">
        <f>raw!N305</f>
        <v>62.249967063531329</v>
      </c>
      <c r="D285" s="12">
        <f t="shared" si="4"/>
        <v>26</v>
      </c>
    </row>
    <row r="286" spans="1:4" x14ac:dyDescent="0.3">
      <c r="A286" s="12">
        <f>raw!I306</f>
        <v>1.8</v>
      </c>
      <c r="B286" s="12">
        <f>raw!N306</f>
        <v>62.14984816377401</v>
      </c>
      <c r="D286" s="12">
        <f t="shared" si="4"/>
        <v>27</v>
      </c>
    </row>
    <row r="287" spans="1:4" x14ac:dyDescent="0.3">
      <c r="A287" s="12">
        <f>raw!I307</f>
        <v>1.8666666666666667</v>
      </c>
      <c r="B287" s="12">
        <f>raw!N307</f>
        <v>62.041803922025728</v>
      </c>
      <c r="D287" s="12">
        <f t="shared" si="4"/>
        <v>28</v>
      </c>
    </row>
    <row r="288" spans="1:4" x14ac:dyDescent="0.3">
      <c r="A288" s="12">
        <f>raw!I308</f>
        <v>1.9333333333333333</v>
      </c>
      <c r="B288" s="12">
        <f>raw!N308</f>
        <v>61.925705541181777</v>
      </c>
      <c r="D288" s="12">
        <f t="shared" si="4"/>
        <v>29</v>
      </c>
    </row>
    <row r="289" spans="1:4" x14ac:dyDescent="0.3">
      <c r="A289" s="12">
        <f>raw!I309</f>
        <v>2</v>
      </c>
      <c r="B289" s="12">
        <f>raw!N309</f>
        <v>61.801413824033617</v>
      </c>
      <c r="D289" s="12">
        <f t="shared" si="4"/>
        <v>30</v>
      </c>
    </row>
    <row r="290" spans="1:4" x14ac:dyDescent="0.3">
      <c r="A290" s="12">
        <f>raw!I310</f>
        <v>2.0666666666666669</v>
      </c>
      <c r="B290" s="12">
        <f>raw!N310</f>
        <v>61.668778838602158</v>
      </c>
      <c r="D290" s="12">
        <f t="shared" si="4"/>
        <v>31.000000000000004</v>
      </c>
    </row>
    <row r="291" spans="1:4" x14ac:dyDescent="0.3">
      <c r="A291" s="12">
        <f>raw!I311</f>
        <v>2.1333333333333333</v>
      </c>
      <c r="B291" s="12">
        <f>raw!N311</f>
        <v>61.527639556610431</v>
      </c>
      <c r="D291" s="12">
        <f t="shared" si="4"/>
        <v>32</v>
      </c>
    </row>
    <row r="292" spans="1:4" x14ac:dyDescent="0.3">
      <c r="A292" s="12">
        <f>raw!I312</f>
        <v>2.2000000000000002</v>
      </c>
      <c r="B292" s="12">
        <f>raw!N312</f>
        <v>61.377823464092259</v>
      </c>
      <c r="D292" s="12">
        <f t="shared" si="4"/>
        <v>33</v>
      </c>
    </row>
    <row r="293" spans="1:4" x14ac:dyDescent="0.3">
      <c r="A293" s="12">
        <f>raw!I313</f>
        <v>2.2666666666666666</v>
      </c>
      <c r="B293" s="12">
        <f>raw!N313</f>
        <v>61.21914614308438</v>
      </c>
      <c r="D293" s="12">
        <f t="shared" si="4"/>
        <v>34</v>
      </c>
    </row>
    <row r="294" spans="1:4" x14ac:dyDescent="0.3">
      <c r="A294" s="12">
        <f>raw!I314</f>
        <v>2.3333333333333335</v>
      </c>
      <c r="B294" s="12">
        <f>raw!N314</f>
        <v>61.051410823305275</v>
      </c>
      <c r="D294" s="12">
        <f t="shared" si="4"/>
        <v>35</v>
      </c>
    </row>
    <row r="295" spans="1:4" x14ac:dyDescent="0.3">
      <c r="A295" s="12">
        <f>raw!I315</f>
        <v>2.4</v>
      </c>
      <c r="B295" s="12">
        <f>raw!N315</f>
        <v>60.874407902686215</v>
      </c>
      <c r="D295" s="12">
        <f t="shared" si="4"/>
        <v>36</v>
      </c>
    </row>
    <row r="296" spans="1:4" x14ac:dyDescent="0.3">
      <c r="A296" s="12">
        <f>raw!I316</f>
        <v>2.4666666666666668</v>
      </c>
      <c r="B296" s="12">
        <f>raw!N316</f>
        <v>60.687914435591935</v>
      </c>
      <c r="D296" s="12">
        <f t="shared" si="4"/>
        <v>37</v>
      </c>
    </row>
    <row r="297" spans="1:4" x14ac:dyDescent="0.3">
      <c r="A297" s="12">
        <f>raw!I317</f>
        <v>2.5333333333333332</v>
      </c>
      <c r="B297" s="12">
        <f>raw!N317</f>
        <v>60.491693587550408</v>
      </c>
      <c r="D297" s="12">
        <f t="shared" si="4"/>
        <v>38</v>
      </c>
    </row>
    <row r="298" spans="1:4" x14ac:dyDescent="0.3">
      <c r="A298" s="12">
        <f>raw!I318</f>
        <v>2.6</v>
      </c>
      <c r="B298" s="12">
        <f>raw!N318</f>
        <v>60.285494055307019</v>
      </c>
      <c r="D298" s="12">
        <f t="shared" si="4"/>
        <v>39</v>
      </c>
    </row>
    <row r="299" spans="1:4" x14ac:dyDescent="0.3">
      <c r="A299" s="12">
        <f>raw!I319</f>
        <v>2.6666666666666665</v>
      </c>
      <c r="B299" s="12">
        <f>raw!N319</f>
        <v>60.069049451031795</v>
      </c>
      <c r="D299" s="12">
        <f t="shared" si="4"/>
        <v>40</v>
      </c>
    </row>
    <row r="300" spans="1:4" x14ac:dyDescent="0.3">
      <c r="A300" s="12">
        <f>raw!I320</f>
        <v>2.7333333333333334</v>
      </c>
      <c r="B300" s="12">
        <f>raw!N320</f>
        <v>59.84207764954153</v>
      </c>
      <c r="D300" s="12">
        <f t="shared" si="4"/>
        <v>41</v>
      </c>
    </row>
    <row r="301" spans="1:4" x14ac:dyDescent="0.3">
      <c r="A301" s="12">
        <f>raw!I321</f>
        <v>2.8</v>
      </c>
      <c r="B301" s="12">
        <f>raw!N321</f>
        <v>59.604280097458272</v>
      </c>
      <c r="D301" s="12">
        <f t="shared" si="4"/>
        <v>42</v>
      </c>
    </row>
    <row r="302" spans="1:4" x14ac:dyDescent="0.3">
      <c r="A302" s="12">
        <f>raw!I322</f>
        <v>2.8666666666666667</v>
      </c>
      <c r="B302" s="12">
        <f>raw!N322</f>
        <v>59.355341083315253</v>
      </c>
      <c r="D302" s="12">
        <f t="shared" si="4"/>
        <v>43</v>
      </c>
    </row>
    <row r="303" spans="1:4" x14ac:dyDescent="0.3">
      <c r="A303" s="12">
        <f>raw!I323</f>
        <v>2.9333333333333336</v>
      </c>
      <c r="B303" s="12">
        <f>raw!N323</f>
        <v>59.094926967748776</v>
      </c>
      <c r="D303" s="12">
        <f t="shared" si="4"/>
        <v>44</v>
      </c>
    </row>
    <row r="304" spans="1:4" x14ac:dyDescent="0.3">
      <c r="A304" s="12">
        <f>raw!I324</f>
        <v>3</v>
      </c>
      <c r="B304" s="12">
        <f>raw!N324</f>
        <v>58.822685373087253</v>
      </c>
      <c r="D304" s="12">
        <f t="shared" si="4"/>
        <v>45</v>
      </c>
    </row>
    <row r="305" spans="1:4" x14ac:dyDescent="0.3">
      <c r="A305" s="12">
        <f>raw!I325</f>
        <v>3.0666666666666669</v>
      </c>
      <c r="B305" s="12">
        <f>raw!N325</f>
        <v>58.538244331874417</v>
      </c>
      <c r="D305" s="12">
        <f t="shared" si="4"/>
        <v>46</v>
      </c>
    </row>
    <row r="306" spans="1:4" x14ac:dyDescent="0.3">
      <c r="A306" s="12">
        <f>raw!I326</f>
        <v>3.1333333333333333</v>
      </c>
      <c r="B306" s="12">
        <f>raw!N326</f>
        <v>58.24121139415513</v>
      </c>
      <c r="D306" s="12">
        <f t="shared" si="4"/>
        <v>47</v>
      </c>
    </row>
    <row r="307" spans="1:4" x14ac:dyDescent="0.3">
      <c r="A307" s="12">
        <f>raw!I327</f>
        <v>3.2</v>
      </c>
      <c r="B307" s="12">
        <f>raw!N327</f>
        <v>57.931172693719994</v>
      </c>
      <c r="D307" s="12">
        <f t="shared" si="4"/>
        <v>48</v>
      </c>
    </row>
    <row r="308" spans="1:4" x14ac:dyDescent="0.3">
      <c r="A308" s="12">
        <f>raw!I328</f>
        <v>3.2666666666666666</v>
      </c>
      <c r="B308" s="12">
        <f>raw!N328</f>
        <v>57.607691973964542</v>
      </c>
      <c r="D308" s="12">
        <f t="shared" si="4"/>
        <v>49</v>
      </c>
    </row>
    <row r="309" spans="1:4" x14ac:dyDescent="0.3">
      <c r="A309" s="12">
        <f>raw!I329</f>
        <v>3.3333333333333335</v>
      </c>
      <c r="B309" s="12">
        <f>raw!N329</f>
        <v>57.270309574586499</v>
      </c>
      <c r="D309" s="12">
        <f t="shared" si="4"/>
        <v>50</v>
      </c>
    </row>
    <row r="310" spans="1:4" x14ac:dyDescent="0.3">
      <c r="A310" s="12">
        <f>raw!I330</f>
        <v>3.4</v>
      </c>
      <c r="B310" s="12">
        <f>raw!N330</f>
        <v>56.918541381040335</v>
      </c>
      <c r="D310" s="12">
        <f t="shared" si="4"/>
        <v>51</v>
      </c>
    </row>
    <row r="311" spans="1:4" x14ac:dyDescent="0.3">
      <c r="A311" s="12">
        <f>raw!I331</f>
        <v>3.4666666666666668</v>
      </c>
      <c r="B311" s="12">
        <f>raw!N331</f>
        <v>56.551877739515447</v>
      </c>
      <c r="D311" s="12">
        <f t="shared" si="4"/>
        <v>52</v>
      </c>
    </row>
    <row r="312" spans="1:4" x14ac:dyDescent="0.3">
      <c r="A312" s="12">
        <f>raw!I332</f>
        <v>3.5333333333333332</v>
      </c>
      <c r="B312" s="12">
        <f>raw!N332</f>
        <v>56.169782341226899</v>
      </c>
      <c r="D312" s="12">
        <f t="shared" si="4"/>
        <v>53</v>
      </c>
    </row>
    <row r="313" spans="1:4" x14ac:dyDescent="0.3">
      <c r="A313" s="12">
        <f>raw!I333</f>
        <v>3.6</v>
      </c>
      <c r="B313" s="12">
        <f>raw!N333</f>
        <v>55.771691081039002</v>
      </c>
      <c r="D313" s="12">
        <f t="shared" si="4"/>
        <v>54</v>
      </c>
    </row>
    <row r="314" spans="1:4" x14ac:dyDescent="0.3">
      <c r="A314" s="12">
        <f>raw!I334</f>
        <v>3.6666666666666665</v>
      </c>
      <c r="B314" s="12">
        <f>raw!N334</f>
        <v>55.357010896913678</v>
      </c>
      <c r="D314" s="12">
        <f t="shared" si="4"/>
        <v>55</v>
      </c>
    </row>
    <row r="315" spans="1:4" x14ac:dyDescent="0.3">
      <c r="A315" s="12">
        <f>raw!I335</f>
        <v>3.7333333333333334</v>
      </c>
      <c r="B315" s="12">
        <f>raw!N335</f>
        <v>54.925118598427964</v>
      </c>
      <c r="D315" s="12">
        <f t="shared" si="4"/>
        <v>56</v>
      </c>
    </row>
    <row r="316" spans="1:4" x14ac:dyDescent="0.3">
      <c r="A316" s="12">
        <f>raw!I336</f>
        <v>3.8</v>
      </c>
      <c r="B316" s="12">
        <f>raw!N336</f>
        <v>54.475359694682979</v>
      </c>
      <c r="D316" s="12">
        <f t="shared" si="4"/>
        <v>57</v>
      </c>
    </row>
    <row r="317" spans="1:4" x14ac:dyDescent="0.3">
      <c r="A317" s="12">
        <f>raw!I337</f>
        <v>3.8666666666666667</v>
      </c>
      <c r="B317" s="12">
        <f>raw!N337</f>
        <v>54.007047234378298</v>
      </c>
      <c r="D317" s="12">
        <f t="shared" si="4"/>
        <v>58</v>
      </c>
    </row>
    <row r="318" spans="1:4" x14ac:dyDescent="0.3">
      <c r="A318" s="12">
        <f>raw!I338</f>
        <v>3.9333333333333336</v>
      </c>
      <c r="B318" s="12">
        <f>raw!N338</f>
        <v>53.519460673707556</v>
      </c>
      <c r="D318" s="12">
        <f t="shared" si="4"/>
        <v>59</v>
      </c>
    </row>
    <row r="319" spans="1:4" x14ac:dyDescent="0.3">
      <c r="A319" s="12">
        <f>raw!I339</f>
        <v>4</v>
      </c>
      <c r="B319" s="12">
        <f>raw!N339</f>
        <v>53.011844791102554</v>
      </c>
      <c r="D319" s="12">
        <f t="shared" si="4"/>
        <v>60</v>
      </c>
    </row>
    <row r="320" spans="1:4" x14ac:dyDescent="0.3">
      <c r="A320" s="12">
        <f>raw!I340</f>
        <v>4.0666666666666664</v>
      </c>
      <c r="B320" s="12">
        <f>raw!N340</f>
        <v>52.483408671782058</v>
      </c>
      <c r="D320" s="12">
        <f t="shared" si="4"/>
        <v>61</v>
      </c>
    </row>
    <row r="321" spans="1:4" x14ac:dyDescent="0.3">
      <c r="A321" s="12">
        <f>raw!I341</f>
        <v>4.1333333333333337</v>
      </c>
      <c r="B321" s="12">
        <f>raw!N341</f>
        <v>51.933324789614481</v>
      </c>
      <c r="D321" s="12">
        <f t="shared" si="4"/>
        <v>62.000000000000007</v>
      </c>
    </row>
    <row r="322" spans="1:4" x14ac:dyDescent="0.3">
      <c r="A322" s="12">
        <f>raw!I342</f>
        <v>4.2</v>
      </c>
      <c r="B322" s="12">
        <f>raw!N342</f>
        <v>51.360728219058373</v>
      </c>
      <c r="D322" s="12">
        <f t="shared" si="4"/>
        <v>63</v>
      </c>
    </row>
    <row r="323" spans="1:4" x14ac:dyDescent="0.3">
      <c r="A323" s="12">
        <f>raw!I343</f>
        <v>4.2666666666666666</v>
      </c>
      <c r="B323" s="12">
        <f>raw!N343</f>
        <v>50.764716015971324</v>
      </c>
      <c r="D323" s="12">
        <f t="shared" ref="D323:D362" si="5">15*(INT(A323)+MOD(A323,1))</f>
        <v>64</v>
      </c>
    </row>
    <row r="324" spans="1:4" x14ac:dyDescent="0.3">
      <c r="A324" s="12">
        <f>raw!I344</f>
        <v>4.333333333333333</v>
      </c>
      <c r="B324" s="12">
        <f>raw!N344</f>
        <v>50.144346812949685</v>
      </c>
      <c r="D324" s="12">
        <f t="shared" si="5"/>
        <v>65</v>
      </c>
    </row>
    <row r="325" spans="1:4" x14ac:dyDescent="0.3">
      <c r="A325" s="12">
        <f>raw!I345</f>
        <v>4.4000000000000004</v>
      </c>
      <c r="B325" s="12">
        <f>raw!N345</f>
        <v>49.498640682644179</v>
      </c>
      <c r="D325" s="12">
        <f t="shared" si="5"/>
        <v>66</v>
      </c>
    </row>
    <row r="326" spans="1:4" x14ac:dyDescent="0.3">
      <c r="A326" s="12">
        <f>raw!I346</f>
        <v>4.4666666666666668</v>
      </c>
      <c r="B326" s="12">
        <f>raw!N346</f>
        <v>48.826579331238072</v>
      </c>
      <c r="D326" s="12">
        <f t="shared" si="5"/>
        <v>67</v>
      </c>
    </row>
    <row r="327" spans="1:4" x14ac:dyDescent="0.3">
      <c r="A327" s="12">
        <f>raw!I347</f>
        <v>4.5333333333333332</v>
      </c>
      <c r="B327" s="12">
        <f>raw!N347</f>
        <v>48.127106694008091</v>
      </c>
      <c r="D327" s="12">
        <f t="shared" si="5"/>
        <v>68</v>
      </c>
    </row>
    <row r="328" spans="1:4" x14ac:dyDescent="0.3">
      <c r="A328" s="12">
        <f>raw!I348</f>
        <v>4.5999999999999996</v>
      </c>
      <c r="B328" s="12">
        <f>raw!N348</f>
        <v>47.399130015605202</v>
      </c>
      <c r="D328" s="12">
        <f t="shared" si="5"/>
        <v>69</v>
      </c>
    </row>
    <row r="329" spans="1:4" x14ac:dyDescent="0.3">
      <c r="A329" s="12">
        <f>raw!I349</f>
        <v>4.666666666666667</v>
      </c>
      <c r="B329" s="12">
        <f>raw!N349</f>
        <v>46.641521509343946</v>
      </c>
      <c r="D329" s="12">
        <f t="shared" si="5"/>
        <v>70</v>
      </c>
    </row>
    <row r="330" spans="1:4" x14ac:dyDescent="0.3">
      <c r="A330" s="12">
        <f>raw!I350</f>
        <v>4.7333333333333334</v>
      </c>
      <c r="B330" s="12">
        <f>raw!N350</f>
        <v>45.853120702251999</v>
      </c>
      <c r="D330" s="12">
        <f t="shared" si="5"/>
        <v>71</v>
      </c>
    </row>
    <row r="331" spans="1:4" x14ac:dyDescent="0.3">
      <c r="A331" s="12">
        <f>raw!I351</f>
        <v>4.8</v>
      </c>
      <c r="B331" s="12">
        <f>raw!N351</f>
        <v>45.032737585699309</v>
      </c>
      <c r="D331" s="12">
        <f t="shared" si="5"/>
        <v>72</v>
      </c>
    </row>
    <row r="332" spans="1:4" x14ac:dyDescent="0.3">
      <c r="A332" s="12">
        <f>raw!I352</f>
        <v>4.8666666666666671</v>
      </c>
      <c r="B332" s="12">
        <f>raw!N352</f>
        <v>44.179156704768694</v>
      </c>
      <c r="D332" s="12">
        <f t="shared" si="5"/>
        <v>73</v>
      </c>
    </row>
    <row r="333" spans="1:4" x14ac:dyDescent="0.3">
      <c r="A333" s="12">
        <f>raw!I353</f>
        <v>4.9333333333333336</v>
      </c>
      <c r="B333" s="12">
        <f>raw!N353</f>
        <v>43.291142332669878</v>
      </c>
      <c r="D333" s="12">
        <f t="shared" si="5"/>
        <v>74</v>
      </c>
    </row>
    <row r="334" spans="1:4" x14ac:dyDescent="0.3">
      <c r="A334" s="12">
        <f>raw!I354</f>
        <v>5</v>
      </c>
      <c r="B334" s="12">
        <f>raw!N354</f>
        <v>42.367444888770351</v>
      </c>
      <c r="D334" s="12">
        <f t="shared" si="5"/>
        <v>75</v>
      </c>
    </row>
    <row r="335" spans="1:4" x14ac:dyDescent="0.3">
      <c r="A335" s="12">
        <f>raw!I355</f>
        <v>5.0666666666666664</v>
      </c>
      <c r="B335" s="12">
        <f>raw!N355</f>
        <v>41.406808769322232</v>
      </c>
      <c r="D335" s="12">
        <f t="shared" si="5"/>
        <v>76</v>
      </c>
    </row>
    <row r="336" spans="1:4" x14ac:dyDescent="0.3">
      <c r="A336" s="12">
        <f>raw!I356</f>
        <v>5.1333333333333337</v>
      </c>
      <c r="B336" s="12">
        <f>raw!N356</f>
        <v>40.407981767542552</v>
      </c>
      <c r="D336" s="12">
        <f t="shared" si="5"/>
        <v>77</v>
      </c>
    </row>
    <row r="337" spans="1:4" x14ac:dyDescent="0.3">
      <c r="A337" s="12">
        <f>raw!I357</f>
        <v>5.2</v>
      </c>
      <c r="B337" s="12">
        <f>raw!N357</f>
        <v>39.369726262877506</v>
      </c>
      <c r="D337" s="12">
        <f t="shared" si="5"/>
        <v>78</v>
      </c>
    </row>
    <row r="338" spans="1:4" x14ac:dyDescent="0.3">
      <c r="A338" s="12">
        <f>raw!I358</f>
        <v>5.2666666666666666</v>
      </c>
      <c r="B338" s="12">
        <f>raw!N358</f>
        <v>38.290832356243776</v>
      </c>
      <c r="D338" s="12">
        <f t="shared" si="5"/>
        <v>79</v>
      </c>
    </row>
    <row r="339" spans="1:4" x14ac:dyDescent="0.3">
      <c r="A339" s="12">
        <f>raw!I359</f>
        <v>5.333333333333333</v>
      </c>
      <c r="B339" s="12">
        <f>raw!N359</f>
        <v>37.170133116626893</v>
      </c>
      <c r="D339" s="12">
        <f t="shared" si="5"/>
        <v>80</v>
      </c>
    </row>
    <row r="340" spans="1:4" x14ac:dyDescent="0.3">
      <c r="A340" s="12">
        <f>raw!I360</f>
        <v>5.4</v>
      </c>
      <c r="B340" s="12">
        <f>raw!N360</f>
        <v>36.006522082145928</v>
      </c>
      <c r="D340" s="12">
        <f t="shared" si="5"/>
        <v>81</v>
      </c>
    </row>
    <row r="341" spans="1:4" x14ac:dyDescent="0.3">
      <c r="A341" s="12">
        <f>raw!I361</f>
        <v>5.4666666666666668</v>
      </c>
      <c r="B341" s="12">
        <f>raw!N361</f>
        <v>34.798973122803723</v>
      </c>
      <c r="D341" s="12">
        <f t="shared" si="5"/>
        <v>82</v>
      </c>
    </row>
    <row r="342" spans="1:4" x14ac:dyDescent="0.3">
      <c r="A342" s="12">
        <f>raw!I362</f>
        <v>5.5333333333333332</v>
      </c>
      <c r="B342" s="12">
        <f>raw!N362</f>
        <v>33.546562719740685</v>
      </c>
      <c r="D342" s="12">
        <f t="shared" si="5"/>
        <v>83</v>
      </c>
    </row>
    <row r="343" spans="1:4" x14ac:dyDescent="0.3">
      <c r="A343" s="12">
        <f>raw!I363</f>
        <v>5.6</v>
      </c>
      <c r="B343" s="12">
        <f>raw!N363</f>
        <v>32.248494644063577</v>
      </c>
      <c r="D343" s="12">
        <f t="shared" si="5"/>
        <v>84</v>
      </c>
    </row>
    <row r="344" spans="1:4" x14ac:dyDescent="0.3">
      <c r="A344" s="12">
        <f>raw!I364</f>
        <v>5.666666666666667</v>
      </c>
      <c r="B344" s="12">
        <f>raw!N364</f>
        <v>30.904126924767205</v>
      </c>
      <c r="D344" s="12">
        <f t="shared" si="5"/>
        <v>85</v>
      </c>
    </row>
    <row r="345" spans="1:4" x14ac:dyDescent="0.3">
      <c r="A345" s="12">
        <f>raw!I365</f>
        <v>5.7333333333333334</v>
      </c>
      <c r="B345" s="12">
        <f>raw!N365</f>
        <v>29.513000878230191</v>
      </c>
      <c r="D345" s="12">
        <f t="shared" si="5"/>
        <v>86</v>
      </c>
    </row>
    <row r="346" spans="1:4" x14ac:dyDescent="0.3">
      <c r="A346" s="12">
        <f>raw!I366</f>
        <v>5.8</v>
      </c>
      <c r="B346" s="12">
        <f>raw!N366</f>
        <v>28.07487183088578</v>
      </c>
      <c r="D346" s="12">
        <f t="shared" si="5"/>
        <v>87</v>
      </c>
    </row>
    <row r="347" spans="1:4" x14ac:dyDescent="0.3">
      <c r="A347" s="12">
        <f>raw!I367</f>
        <v>5.8666666666666671</v>
      </c>
      <c r="B347" s="12">
        <f>raw!N367</f>
        <v>26.589741003516647</v>
      </c>
      <c r="D347" s="12">
        <f t="shared" si="5"/>
        <v>88</v>
      </c>
    </row>
    <row r="348" spans="1:4" x14ac:dyDescent="0.3">
      <c r="A348" s="12">
        <f>raw!I368</f>
        <v>5.9333333333333336</v>
      </c>
      <c r="B348" s="12">
        <f>raw!N368</f>
        <v>25.057887844386805</v>
      </c>
      <c r="D348" s="12">
        <f t="shared" si="5"/>
        <v>89</v>
      </c>
    </row>
    <row r="349" spans="1:4" x14ac:dyDescent="0.3">
      <c r="A349" s="12">
        <f>raw!I369</f>
        <v>6</v>
      </c>
      <c r="B349" s="12">
        <f>raw!N369</f>
        <v>23.479901906526056</v>
      </c>
      <c r="D349" s="12">
        <f t="shared" si="5"/>
        <v>90</v>
      </c>
    </row>
    <row r="350" spans="1:4" x14ac:dyDescent="0.3">
      <c r="A350" s="12">
        <f>raw!I370</f>
        <v>6.0666666666666664</v>
      </c>
      <c r="B350" s="12">
        <f>raw!N370</f>
        <v>21.85671317308044</v>
      </c>
      <c r="D350" s="12">
        <f t="shared" si="5"/>
        <v>91</v>
      </c>
    </row>
    <row r="351" spans="1:4" x14ac:dyDescent="0.3">
      <c r="A351" s="12">
        <f>raw!I371</f>
        <v>6.1333333333333337</v>
      </c>
      <c r="B351" s="12">
        <f>raw!N371</f>
        <v>20.189619558778315</v>
      </c>
      <c r="D351" s="12">
        <f t="shared" si="5"/>
        <v>92</v>
      </c>
    </row>
    <row r="352" spans="1:4" x14ac:dyDescent="0.3">
      <c r="A352" s="12">
        <f>raw!I372</f>
        <v>6.2</v>
      </c>
      <c r="B352" s="12">
        <f>raw!N372</f>
        <v>18.480310173844636</v>
      </c>
      <c r="D352" s="12">
        <f t="shared" si="5"/>
        <v>93</v>
      </c>
    </row>
    <row r="353" spans="1:4" x14ac:dyDescent="0.3">
      <c r="A353" s="12">
        <f>raw!I373</f>
        <v>6.2666666666666666</v>
      </c>
      <c r="B353" s="12">
        <f>raw!N373</f>
        <v>16.730882850295227</v>
      </c>
      <c r="D353" s="12">
        <f t="shared" si="5"/>
        <v>94</v>
      </c>
    </row>
    <row r="354" spans="1:4" x14ac:dyDescent="0.3">
      <c r="A354" s="12">
        <f>raw!I374</f>
        <v>6.333333333333333</v>
      </c>
      <c r="B354" s="12">
        <f>raw!N374</f>
        <v>14.943854421404581</v>
      </c>
      <c r="D354" s="12">
        <f t="shared" si="5"/>
        <v>95</v>
      </c>
    </row>
    <row r="355" spans="1:4" x14ac:dyDescent="0.3">
      <c r="A355" s="12">
        <f>raw!I375</f>
        <v>6.4</v>
      </c>
      <c r="B355" s="12">
        <f>raw!N375</f>
        <v>13.122162333409641</v>
      </c>
      <c r="D355" s="12">
        <f t="shared" si="5"/>
        <v>96</v>
      </c>
    </row>
    <row r="356" spans="1:4" x14ac:dyDescent="0.3">
      <c r="A356" s="12">
        <f>raw!I376</f>
        <v>6.4666666666666668</v>
      </c>
      <c r="B356" s="12">
        <f>raw!N376</f>
        <v>11.269156369319875</v>
      </c>
      <c r="D356" s="12">
        <f t="shared" si="5"/>
        <v>97</v>
      </c>
    </row>
    <row r="357" spans="1:4" x14ac:dyDescent="0.3">
      <c r="A357" s="12">
        <f>raw!I377</f>
        <v>6.5333333333333332</v>
      </c>
      <c r="B357" s="12">
        <f>raw!N377</f>
        <v>9.3885795847117972</v>
      </c>
      <c r="D357" s="12">
        <f t="shared" si="5"/>
        <v>98</v>
      </c>
    </row>
    <row r="358" spans="1:4" x14ac:dyDescent="0.3">
      <c r="A358" s="12">
        <f>raw!I378</f>
        <v>6.6</v>
      </c>
      <c r="B358" s="12">
        <f>raw!N378</f>
        <v>7.4845379896277988</v>
      </c>
      <c r="D358" s="12">
        <f t="shared" si="5"/>
        <v>99</v>
      </c>
    </row>
    <row r="359" spans="1:4" x14ac:dyDescent="0.3">
      <c r="A359" s="12">
        <f>raw!I379</f>
        <v>6.666666666666667</v>
      </c>
      <c r="B359" s="12">
        <f>raw!N379</f>
        <v>5.5614590404656443</v>
      </c>
      <c r="D359" s="12">
        <f t="shared" si="5"/>
        <v>100</v>
      </c>
    </row>
    <row r="360" spans="1:4" x14ac:dyDescent="0.3">
      <c r="A360" s="12">
        <f>raw!I380</f>
        <v>6.7333333333333334</v>
      </c>
      <c r="B360" s="12">
        <f>raw!N380</f>
        <v>3.6240395981845483</v>
      </c>
      <c r="D360" s="12">
        <f t="shared" si="5"/>
        <v>101</v>
      </c>
    </row>
    <row r="361" spans="1:4" x14ac:dyDescent="0.3">
      <c r="A361" s="12">
        <f>raw!I381</f>
        <v>6.8</v>
      </c>
      <c r="B361" s="12">
        <f>raw!N381</f>
        <v>1.6771846191304334</v>
      </c>
      <c r="D361" s="12">
        <f t="shared" si="5"/>
        <v>102</v>
      </c>
    </row>
    <row r="362" spans="1:4" x14ac:dyDescent="0.3">
      <c r="A362" s="12">
        <f>raw!I382</f>
        <v>6.8666666666666671</v>
      </c>
      <c r="B362" s="12">
        <f>raw!N382</f>
        <v>-0.27406158088231786</v>
      </c>
      <c r="D362" s="12">
        <f t="shared" si="5"/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8C1C-684D-48A7-9765-9D759029BD5D}">
  <dimension ref="D5:X439"/>
  <sheetViews>
    <sheetView topLeftCell="A373" workbookViewId="0">
      <selection activeCell="I391" sqref="I391"/>
    </sheetView>
  </sheetViews>
  <sheetFormatPr defaultRowHeight="15.6" x14ac:dyDescent="0.3"/>
  <cols>
    <col min="4" max="5" width="8.88671875" style="1"/>
    <col min="6" max="8" width="4.77734375" style="2" customWidth="1"/>
    <col min="9" max="9" width="7.5546875" style="6" bestFit="1" customWidth="1"/>
    <col min="10" max="10" width="9.33203125" style="4" bestFit="1" customWidth="1"/>
    <col min="11" max="13" width="3.77734375" style="2" customWidth="1"/>
    <col min="14" max="14" width="8.21875" style="6" bestFit="1" customWidth="1"/>
    <col min="21" max="21" width="6.5546875" bestFit="1" customWidth="1"/>
    <col min="22" max="22" width="14.33203125" bestFit="1" customWidth="1"/>
    <col min="23" max="23" width="10.5546875" bestFit="1" customWidth="1"/>
    <col min="24" max="24" width="26.5546875" bestFit="1" customWidth="1"/>
  </cols>
  <sheetData>
    <row r="5" spans="4:22" x14ac:dyDescent="0.3">
      <c r="F5" s="10" t="s">
        <v>0</v>
      </c>
      <c r="G5" s="10"/>
      <c r="H5" s="10"/>
      <c r="K5" s="10" t="s">
        <v>1</v>
      </c>
      <c r="L5" s="10"/>
      <c r="M5" s="10"/>
    </row>
    <row r="6" spans="4:22" x14ac:dyDescent="0.3">
      <c r="D6" s="1" t="s">
        <v>5</v>
      </c>
      <c r="E6" s="1" t="s">
        <v>6</v>
      </c>
      <c r="F6" s="2">
        <v>12</v>
      </c>
      <c r="G6" s="2">
        <v>51</v>
      </c>
      <c r="H6" s="2">
        <v>26.3</v>
      </c>
      <c r="I6" s="7">
        <f>(((H6/60)+G6)/60)+F6</f>
        <v>12.857305555555556</v>
      </c>
      <c r="J6" s="5">
        <f>((((H6/60)+G6)/60)+F6)*15</f>
        <v>192.85958333333332</v>
      </c>
      <c r="K6" s="2">
        <v>27</v>
      </c>
      <c r="L6" s="2">
        <v>7</v>
      </c>
      <c r="M6" s="2">
        <v>42</v>
      </c>
      <c r="N6" s="7">
        <f>(((M6/60)+L6)/60)+K6</f>
        <v>27.128333333333334</v>
      </c>
      <c r="R6" t="s">
        <v>66</v>
      </c>
      <c r="S6" s="11">
        <f>N6</f>
        <v>27.128333333333334</v>
      </c>
    </row>
    <row r="7" spans="4:22" x14ac:dyDescent="0.3">
      <c r="E7" s="1" t="s">
        <v>3</v>
      </c>
      <c r="F7" s="2">
        <v>17</v>
      </c>
      <c r="G7" s="2">
        <v>45</v>
      </c>
      <c r="H7" s="2">
        <v>40</v>
      </c>
      <c r="I7" s="7">
        <f>(((H7/60)+G7)/60)+F7</f>
        <v>17.761111111111113</v>
      </c>
      <c r="J7" s="5">
        <f>((((H7/60)+G7)/60)+F7)*15</f>
        <v>266.41666666666669</v>
      </c>
      <c r="K7" s="2">
        <v>-29</v>
      </c>
      <c r="L7" s="2">
        <v>0</v>
      </c>
      <c r="M7" s="2">
        <v>28</v>
      </c>
      <c r="N7" s="7">
        <f>-((((M7/60)+L7)/60)+ABS(K7))</f>
        <v>-29.007777777777779</v>
      </c>
      <c r="R7" t="s">
        <v>67</v>
      </c>
      <c r="S7" s="12">
        <f>J6</f>
        <v>192.85958333333332</v>
      </c>
    </row>
    <row r="8" spans="4:22" x14ac:dyDescent="0.3">
      <c r="E8" s="1" t="s">
        <v>65</v>
      </c>
      <c r="F8" s="3">
        <v>17</v>
      </c>
      <c r="G8" s="3">
        <v>45</v>
      </c>
      <c r="H8" s="3">
        <v>37</v>
      </c>
      <c r="I8" s="7">
        <f>(((H8/60)+G8)/60)+F8</f>
        <v>17.760277777777777</v>
      </c>
      <c r="J8" s="5">
        <f>((((H8/60)+G8)/60)+F8)*15</f>
        <v>266.40416666666664</v>
      </c>
      <c r="K8" s="3">
        <v>-28</v>
      </c>
      <c r="L8" s="3">
        <v>56</v>
      </c>
      <c r="M8" s="3">
        <v>10</v>
      </c>
      <c r="N8" s="7">
        <f>-((((M8/60)+L8)/60)+ABS(K8))</f>
        <v>-28.93611111111111</v>
      </c>
    </row>
    <row r="9" spans="4:22" x14ac:dyDescent="0.3">
      <c r="E9" s="1" t="s">
        <v>4</v>
      </c>
      <c r="F9" s="2">
        <v>5</v>
      </c>
      <c r="G9" s="2">
        <v>45</v>
      </c>
      <c r="H9" s="2">
        <v>40</v>
      </c>
      <c r="I9" s="7">
        <f t="shared" ref="I9:I20" si="0">(((H9/60)+G9)/60)+F9</f>
        <v>5.7611111111111111</v>
      </c>
      <c r="J9" s="5">
        <f t="shared" ref="J9:J72" si="1">((((H9/60)+G9)/60)+F9)*15</f>
        <v>86.416666666666671</v>
      </c>
      <c r="K9" s="2">
        <v>29</v>
      </c>
      <c r="L9" s="2">
        <v>0</v>
      </c>
      <c r="M9" s="2">
        <v>28</v>
      </c>
      <c r="N9" s="7">
        <f t="shared" ref="N9:N11" si="2">(((M9/60)+L9)/60)+K9</f>
        <v>29.007777777777779</v>
      </c>
    </row>
    <row r="10" spans="4:22" x14ac:dyDescent="0.3">
      <c r="E10" s="1" t="s">
        <v>7</v>
      </c>
      <c r="F10" s="2">
        <v>0</v>
      </c>
      <c r="G10" s="2">
        <v>51</v>
      </c>
      <c r="H10" s="2">
        <v>26</v>
      </c>
      <c r="I10" s="7">
        <f t="shared" si="0"/>
        <v>0.85722222222222222</v>
      </c>
      <c r="J10" s="5">
        <f t="shared" si="1"/>
        <v>12.858333333333333</v>
      </c>
      <c r="K10" s="2">
        <v>-27</v>
      </c>
      <c r="L10" s="2">
        <v>7</v>
      </c>
      <c r="M10" s="2">
        <v>42</v>
      </c>
      <c r="N10" s="7">
        <f>-((((M10/60)+L10)/60)+ABS(K10))</f>
        <v>-27.128333333333334</v>
      </c>
    </row>
    <row r="11" spans="4:22" x14ac:dyDescent="0.3">
      <c r="I11" s="7">
        <f t="shared" si="0"/>
        <v>0</v>
      </c>
      <c r="J11" s="5">
        <f t="shared" si="1"/>
        <v>0</v>
      </c>
      <c r="N11" s="7">
        <f t="shared" si="2"/>
        <v>0</v>
      </c>
    </row>
    <row r="12" spans="4:22" x14ac:dyDescent="0.3">
      <c r="E12" s="1" t="s">
        <v>63</v>
      </c>
      <c r="F12" s="3">
        <v>6</v>
      </c>
      <c r="G12" s="3">
        <v>51</v>
      </c>
      <c r="H12" s="3">
        <v>26</v>
      </c>
      <c r="I12" s="7">
        <f t="shared" ref="I12:I17" si="3">(((H12/60)+G12)/60)+F12</f>
        <v>6.8572222222222221</v>
      </c>
      <c r="J12" s="5">
        <f t="shared" ref="J12:J17" si="4">((((H12/60)+G12)/60)+F12)*15</f>
        <v>102.85833333333333</v>
      </c>
      <c r="K12" s="3">
        <v>0</v>
      </c>
      <c r="L12" s="3">
        <v>0</v>
      </c>
      <c r="M12" s="3">
        <v>0</v>
      </c>
      <c r="N12" s="7">
        <f t="shared" ref="N12" si="5">-((((M12/60)+L12)/60)+ABS(K12))</f>
        <v>0</v>
      </c>
    </row>
    <row r="13" spans="4:22" x14ac:dyDescent="0.3">
      <c r="E13" s="1" t="s">
        <v>64</v>
      </c>
      <c r="F13" s="3">
        <v>18</v>
      </c>
      <c r="G13" s="3">
        <v>51</v>
      </c>
      <c r="H13" s="3">
        <v>26</v>
      </c>
      <c r="I13" s="7">
        <f t="shared" si="3"/>
        <v>18.857222222222223</v>
      </c>
      <c r="J13" s="5">
        <f t="shared" si="4"/>
        <v>282.85833333333335</v>
      </c>
      <c r="K13" s="3">
        <v>0</v>
      </c>
      <c r="L13" s="3">
        <v>0</v>
      </c>
      <c r="M13" s="3">
        <v>0</v>
      </c>
      <c r="N13" s="7">
        <f t="shared" ref="N13" si="6">(((M13/60)+L13)/60)+K13</f>
        <v>0</v>
      </c>
    </row>
    <row r="14" spans="4:22" x14ac:dyDescent="0.3">
      <c r="F14" s="3"/>
      <c r="G14" s="3"/>
      <c r="H14" s="3"/>
      <c r="I14" s="7">
        <f t="shared" si="3"/>
        <v>0</v>
      </c>
      <c r="J14" s="5">
        <f t="shared" si="4"/>
        <v>0</v>
      </c>
      <c r="K14" s="3"/>
      <c r="L14" s="3"/>
      <c r="M14" s="3"/>
      <c r="N14" s="7">
        <f t="shared" ref="N14" si="7">-((((M14/60)+L14)/60)+ABS(K14))</f>
        <v>0</v>
      </c>
    </row>
    <row r="15" spans="4:22" x14ac:dyDescent="0.3">
      <c r="F15" s="3"/>
      <c r="G15" s="3"/>
      <c r="H15" s="3"/>
      <c r="I15" s="7">
        <f t="shared" si="3"/>
        <v>0</v>
      </c>
      <c r="J15" s="5">
        <f t="shared" si="4"/>
        <v>0</v>
      </c>
      <c r="K15" s="3"/>
      <c r="L15" s="3"/>
      <c r="M15" s="3"/>
      <c r="N15" s="7">
        <f t="shared" ref="N15" si="8">(((M15/60)+L15)/60)+K15</f>
        <v>0</v>
      </c>
      <c r="V15" t="s">
        <v>71</v>
      </c>
    </row>
    <row r="16" spans="4:22" x14ac:dyDescent="0.3">
      <c r="F16" s="3"/>
      <c r="G16" s="3"/>
      <c r="H16" s="3"/>
      <c r="I16" s="7">
        <f t="shared" si="3"/>
        <v>0</v>
      </c>
      <c r="J16" s="5">
        <f t="shared" si="4"/>
        <v>0</v>
      </c>
      <c r="K16" s="3"/>
      <c r="L16" s="3"/>
      <c r="M16" s="3"/>
      <c r="N16" s="7">
        <f t="shared" ref="N16" si="9">-((((M16/60)+L16)/60)+ABS(K16))</f>
        <v>0</v>
      </c>
      <c r="V16" t="s">
        <v>72</v>
      </c>
    </row>
    <row r="17" spans="5:22" x14ac:dyDescent="0.3">
      <c r="F17" s="3"/>
      <c r="G17" s="3"/>
      <c r="H17" s="3"/>
      <c r="I17" s="7">
        <f t="shared" si="3"/>
        <v>0</v>
      </c>
      <c r="J17" s="5">
        <f t="shared" si="4"/>
        <v>0</v>
      </c>
      <c r="K17" s="3"/>
      <c r="L17" s="3"/>
      <c r="M17" s="3"/>
      <c r="N17" s="7">
        <f t="shared" ref="N17" si="10">(((M17/60)+L17)/60)+K17</f>
        <v>0</v>
      </c>
      <c r="V17" t="s">
        <v>73</v>
      </c>
    </row>
    <row r="18" spans="5:22" ht="16.2" x14ac:dyDescent="0.35">
      <c r="E18" s="1" t="s">
        <v>2</v>
      </c>
      <c r="I18" s="7">
        <f t="shared" si="0"/>
        <v>0</v>
      </c>
      <c r="J18" s="5">
        <f t="shared" si="1"/>
        <v>0</v>
      </c>
      <c r="K18" s="2">
        <v>-62</v>
      </c>
      <c r="L18" s="2">
        <v>52</v>
      </c>
      <c r="M18" s="2">
        <v>19</v>
      </c>
      <c r="N18" s="7">
        <f>-((((M18/60)+L18)/60)+ABS(K18))</f>
        <v>-62.871944444444445</v>
      </c>
      <c r="R18" s="13" t="s">
        <v>70</v>
      </c>
      <c r="V18" t="s">
        <v>74</v>
      </c>
    </row>
    <row r="19" spans="5:22" ht="16.2" x14ac:dyDescent="0.35">
      <c r="E19" s="1" t="s">
        <v>68</v>
      </c>
      <c r="F19" s="2">
        <v>12</v>
      </c>
      <c r="G19" s="2">
        <v>52</v>
      </c>
      <c r="H19" s="2">
        <v>0</v>
      </c>
      <c r="I19" s="7">
        <f t="shared" si="0"/>
        <v>12.866666666666667</v>
      </c>
      <c r="J19" s="5">
        <f t="shared" si="1"/>
        <v>193</v>
      </c>
      <c r="N19" s="11">
        <f>DEGREES(ATAN(-(COS(RADIANS($S$6))/SIN(RADIANS($S$6)))*COS(RADIANS(J19-$S$7))))</f>
        <v>-62.871596840210778</v>
      </c>
      <c r="R19" s="1" t="s">
        <v>69</v>
      </c>
      <c r="V19" t="s">
        <v>75</v>
      </c>
    </row>
    <row r="20" spans="5:22" x14ac:dyDescent="0.3">
      <c r="F20" s="2">
        <v>0</v>
      </c>
      <c r="G20" s="2">
        <v>0</v>
      </c>
      <c r="H20" s="2">
        <v>0</v>
      </c>
      <c r="I20" s="7">
        <f t="shared" si="0"/>
        <v>0</v>
      </c>
      <c r="J20" s="5">
        <f t="shared" si="1"/>
        <v>0</v>
      </c>
      <c r="N20" s="11">
        <f t="shared" ref="N20:N24" si="11">DEGREES(ATAN(-(COS(RADIANS($S$6))/SIN(RADIANS($S$6)))*COS(RADIANS(J20-$S$7))))</f>
        <v>62.276674887143415</v>
      </c>
      <c r="V20" t="s">
        <v>76</v>
      </c>
    </row>
    <row r="21" spans="5:22" x14ac:dyDescent="0.3">
      <c r="F21" s="3">
        <v>0</v>
      </c>
      <c r="G21" s="3">
        <v>0</v>
      </c>
      <c r="H21" s="3">
        <v>0</v>
      </c>
      <c r="I21" s="7">
        <f t="shared" ref="I21:I24" si="12">(((H21/60)+G21)/60)+F21</f>
        <v>0</v>
      </c>
      <c r="J21" s="5">
        <f t="shared" si="1"/>
        <v>0</v>
      </c>
      <c r="K21" s="3"/>
      <c r="L21" s="3"/>
      <c r="M21" s="3"/>
      <c r="N21" s="11">
        <f t="shared" si="11"/>
        <v>62.276674887143415</v>
      </c>
    </row>
    <row r="22" spans="5:22" x14ac:dyDescent="0.3">
      <c r="F22" s="3">
        <v>6</v>
      </c>
      <c r="G22" s="3">
        <v>52</v>
      </c>
      <c r="H22" s="3">
        <v>0</v>
      </c>
      <c r="I22" s="7">
        <f t="shared" si="12"/>
        <v>6.8666666666666671</v>
      </c>
      <c r="J22" s="5">
        <f t="shared" si="1"/>
        <v>103</v>
      </c>
      <c r="K22" s="3"/>
      <c r="L22" s="3"/>
      <c r="M22" s="3"/>
      <c r="N22" s="11">
        <f t="shared" si="11"/>
        <v>-0.27406158088231786</v>
      </c>
    </row>
    <row r="23" spans="5:22" x14ac:dyDescent="0.3">
      <c r="F23" s="3">
        <v>6</v>
      </c>
      <c r="G23" s="3">
        <v>56</v>
      </c>
      <c r="H23" s="3">
        <v>0</v>
      </c>
      <c r="I23" s="7">
        <f t="shared" si="12"/>
        <v>6.9333333333333336</v>
      </c>
      <c r="J23" s="5">
        <f t="shared" si="1"/>
        <v>104</v>
      </c>
      <c r="K23" s="3"/>
      <c r="L23" s="3"/>
      <c r="M23" s="3"/>
      <c r="N23" s="11">
        <f t="shared" si="11"/>
        <v>-2.2245891648668779</v>
      </c>
    </row>
    <row r="24" spans="5:22" x14ac:dyDescent="0.3">
      <c r="F24" s="3">
        <v>7</v>
      </c>
      <c r="G24" s="3">
        <v>0</v>
      </c>
      <c r="H24" s="3">
        <v>0</v>
      </c>
      <c r="I24" s="7">
        <f t="shared" si="12"/>
        <v>7</v>
      </c>
      <c r="J24" s="5">
        <f t="shared" si="1"/>
        <v>105</v>
      </c>
      <c r="K24" s="3"/>
      <c r="L24" s="3"/>
      <c r="M24" s="3"/>
      <c r="N24" s="11">
        <f t="shared" si="11"/>
        <v>-4.1692990472301199</v>
      </c>
    </row>
    <row r="25" spans="5:22" x14ac:dyDescent="0.3">
      <c r="F25" s="3">
        <v>7</v>
      </c>
      <c r="G25" s="3">
        <v>4</v>
      </c>
      <c r="H25" s="3">
        <v>0</v>
      </c>
      <c r="I25" s="7">
        <f t="shared" ref="I25:I88" si="13">(((H25/60)+G25)/60)+F25</f>
        <v>7.0666666666666664</v>
      </c>
      <c r="J25" s="5">
        <f t="shared" si="1"/>
        <v>106</v>
      </c>
      <c r="K25" s="3"/>
      <c r="L25" s="3"/>
      <c r="M25" s="3"/>
      <c r="N25" s="11">
        <f t="shared" ref="N25:N88" si="14">DEGREES(ATAN(-(COS(RADIANS($S$6))/SIN(RADIANS($S$6)))*COS(RADIANS(J25-$S$7))))</f>
        <v>-6.1031787653556737</v>
      </c>
    </row>
    <row r="26" spans="5:22" x14ac:dyDescent="0.3">
      <c r="F26" s="3">
        <v>7</v>
      </c>
      <c r="G26" s="3">
        <v>8</v>
      </c>
      <c r="H26" s="3">
        <v>0</v>
      </c>
      <c r="I26" s="7">
        <f t="shared" si="13"/>
        <v>7.1333333333333337</v>
      </c>
      <c r="J26" s="5">
        <f t="shared" si="1"/>
        <v>107</v>
      </c>
      <c r="K26" s="3"/>
      <c r="L26" s="3"/>
      <c r="M26" s="3"/>
      <c r="N26" s="11">
        <f t="shared" si="14"/>
        <v>-8.0213751426205562</v>
      </c>
    </row>
    <row r="27" spans="5:22" x14ac:dyDescent="0.3">
      <c r="F27" s="3">
        <v>7</v>
      </c>
      <c r="G27" s="3">
        <v>12</v>
      </c>
      <c r="H27" s="3">
        <v>0</v>
      </c>
      <c r="I27" s="7">
        <f t="shared" si="13"/>
        <v>7.2</v>
      </c>
      <c r="J27" s="5">
        <f t="shared" si="1"/>
        <v>108</v>
      </c>
      <c r="K27" s="3"/>
      <c r="L27" s="3"/>
      <c r="M27" s="3"/>
      <c r="N27" s="11">
        <f t="shared" si="14"/>
        <v>-9.9192611547155582</v>
      </c>
    </row>
    <row r="28" spans="5:22" x14ac:dyDescent="0.3">
      <c r="F28" s="3">
        <v>7</v>
      </c>
      <c r="G28" s="3">
        <v>16</v>
      </c>
      <c r="H28" s="3">
        <v>0</v>
      </c>
      <c r="I28" s="7">
        <f t="shared" si="13"/>
        <v>7.2666666666666666</v>
      </c>
      <c r="J28" s="5">
        <f t="shared" si="1"/>
        <v>109</v>
      </c>
      <c r="K28" s="3"/>
      <c r="L28" s="3"/>
      <c r="M28" s="3"/>
      <c r="N28" s="11">
        <f t="shared" si="14"/>
        <v>-11.792494798563707</v>
      </c>
    </row>
    <row r="29" spans="5:22" x14ac:dyDescent="0.3">
      <c r="F29" s="3">
        <v>7</v>
      </c>
      <c r="G29" s="3">
        <v>20</v>
      </c>
      <c r="H29" s="3">
        <v>0</v>
      </c>
      <c r="I29" s="7">
        <f t="shared" si="13"/>
        <v>7.333333333333333</v>
      </c>
      <c r="J29" s="5">
        <f t="shared" si="1"/>
        <v>110</v>
      </c>
      <c r="K29" s="3"/>
      <c r="L29" s="3"/>
      <c r="M29" s="3"/>
      <c r="N29" s="11">
        <f t="shared" si="14"/>
        <v>-13.637068277672684</v>
      </c>
    </row>
    <row r="30" spans="5:22" x14ac:dyDescent="0.3">
      <c r="F30" s="3">
        <v>7</v>
      </c>
      <c r="G30" s="3">
        <v>24</v>
      </c>
      <c r="H30" s="3">
        <v>0</v>
      </c>
      <c r="I30" s="7">
        <f t="shared" si="13"/>
        <v>7.4</v>
      </c>
      <c r="J30" s="5">
        <f t="shared" si="1"/>
        <v>111</v>
      </c>
      <c r="K30" s="3"/>
      <c r="L30" s="3"/>
      <c r="M30" s="3"/>
      <c r="N30" s="11">
        <f t="shared" si="14"/>
        <v>-15.449346407706068</v>
      </c>
    </row>
    <row r="31" spans="5:22" x14ac:dyDescent="0.3">
      <c r="F31" s="3">
        <v>7</v>
      </c>
      <c r="G31" s="3">
        <v>28</v>
      </c>
      <c r="H31" s="3">
        <v>0</v>
      </c>
      <c r="I31" s="7">
        <f t="shared" si="13"/>
        <v>7.4666666666666668</v>
      </c>
      <c r="J31" s="5">
        <f t="shared" si="1"/>
        <v>112</v>
      </c>
      <c r="K31" s="3"/>
      <c r="L31" s="3"/>
      <c r="M31" s="3"/>
      <c r="N31" s="11">
        <f t="shared" si="14"/>
        <v>-17.226093756235059</v>
      </c>
    </row>
    <row r="32" spans="5:22" x14ac:dyDescent="0.3">
      <c r="F32" s="3">
        <v>7</v>
      </c>
      <c r="G32" s="3">
        <v>32</v>
      </c>
      <c r="H32" s="3">
        <v>0</v>
      </c>
      <c r="I32" s="7">
        <f t="shared" si="13"/>
        <v>7.5333333333333332</v>
      </c>
      <c r="J32" s="5">
        <f t="shared" si="1"/>
        <v>113</v>
      </c>
      <c r="K32" s="3"/>
      <c r="L32" s="3"/>
      <c r="M32" s="3"/>
      <c r="N32" s="11">
        <f t="shared" si="14"/>
        <v>-18.964490609558219</v>
      </c>
    </row>
    <row r="33" spans="6:14" x14ac:dyDescent="0.3">
      <c r="F33" s="3">
        <v>7</v>
      </c>
      <c r="G33" s="3">
        <v>36</v>
      </c>
      <c r="H33" s="3">
        <v>0</v>
      </c>
      <c r="I33" s="7">
        <f t="shared" si="13"/>
        <v>7.6</v>
      </c>
      <c r="J33" s="5">
        <f t="shared" si="1"/>
        <v>114</v>
      </c>
      <c r="K33" s="3"/>
      <c r="L33" s="3"/>
      <c r="M33" s="3"/>
      <c r="N33" s="11">
        <f t="shared" si="14"/>
        <v>-20.662138365138681</v>
      </c>
    </row>
    <row r="34" spans="6:14" x14ac:dyDescent="0.3">
      <c r="F34" s="3">
        <v>7</v>
      </c>
      <c r="G34" s="3">
        <v>40</v>
      </c>
      <c r="H34" s="3">
        <v>0</v>
      </c>
      <c r="I34" s="7">
        <f t="shared" si="13"/>
        <v>7.666666666666667</v>
      </c>
      <c r="J34" s="5">
        <f t="shared" si="1"/>
        <v>115</v>
      </c>
      <c r="K34" s="3"/>
      <c r="L34" s="3"/>
      <c r="M34" s="3"/>
      <c r="N34" s="11">
        <f t="shared" si="14"/>
        <v>-22.317055351641354</v>
      </c>
    </row>
    <row r="35" spans="6:14" x14ac:dyDescent="0.3">
      <c r="F35" s="3">
        <v>7</v>
      </c>
      <c r="G35" s="3">
        <v>44</v>
      </c>
      <c r="H35" s="3">
        <v>0</v>
      </c>
      <c r="I35" s="7">
        <f t="shared" si="13"/>
        <v>7.7333333333333334</v>
      </c>
      <c r="J35" s="5">
        <f t="shared" si="1"/>
        <v>116</v>
      </c>
      <c r="K35" s="3"/>
      <c r="L35" s="3"/>
      <c r="M35" s="3"/>
      <c r="N35" s="11">
        <f t="shared" si="14"/>
        <v>-23.927664365034857</v>
      </c>
    </row>
    <row r="36" spans="6:14" x14ac:dyDescent="0.3">
      <c r="F36" s="3">
        <v>7</v>
      </c>
      <c r="G36" s="3">
        <v>48</v>
      </c>
      <c r="H36" s="3">
        <v>0</v>
      </c>
      <c r="I36" s="7">
        <f t="shared" si="13"/>
        <v>7.8</v>
      </c>
      <c r="J36" s="5">
        <f t="shared" si="1"/>
        <v>117</v>
      </c>
      <c r="K36" s="3"/>
      <c r="L36" s="3"/>
      <c r="M36" s="3"/>
      <c r="N36" s="11">
        <f t="shared" si="14"/>
        <v>-25.49277337732439</v>
      </c>
    </row>
    <row r="37" spans="6:14" x14ac:dyDescent="0.3">
      <c r="F37" s="3">
        <v>7</v>
      </c>
      <c r="G37" s="3">
        <v>52</v>
      </c>
      <c r="H37" s="3">
        <v>0</v>
      </c>
      <c r="I37" s="7">
        <f t="shared" si="13"/>
        <v>7.8666666666666671</v>
      </c>
      <c r="J37" s="5">
        <f t="shared" si="1"/>
        <v>118</v>
      </c>
      <c r="K37" s="3"/>
      <c r="L37" s="3"/>
      <c r="M37" s="3"/>
      <c r="N37" s="11">
        <f t="shared" si="14"/>
        <v>-27.01155093358755</v>
      </c>
    </row>
    <row r="38" spans="6:14" x14ac:dyDescent="0.3">
      <c r="F38" s="3">
        <v>7</v>
      </c>
      <c r="G38" s="3">
        <v>56</v>
      </c>
      <c r="H38" s="3">
        <v>0</v>
      </c>
      <c r="I38" s="7">
        <f t="shared" si="13"/>
        <v>7.9333333333333336</v>
      </c>
      <c r="J38" s="5">
        <f t="shared" si="1"/>
        <v>119</v>
      </c>
      <c r="K38" s="3"/>
      <c r="L38" s="3"/>
      <c r="M38" s="3"/>
      <c r="N38" s="11">
        <f t="shared" si="14"/>
        <v>-28.483497719981855</v>
      </c>
    </row>
    <row r="39" spans="6:14" x14ac:dyDescent="0.3">
      <c r="F39" s="3">
        <v>8</v>
      </c>
      <c r="G39" s="3">
        <v>0</v>
      </c>
      <c r="H39" s="3">
        <v>0</v>
      </c>
      <c r="I39" s="7">
        <f t="shared" si="13"/>
        <v>8</v>
      </c>
      <c r="J39" s="5">
        <f t="shared" si="1"/>
        <v>120</v>
      </c>
      <c r="K39" s="3"/>
      <c r="L39" s="3"/>
      <c r="M39" s="3"/>
      <c r="N39" s="11">
        <f t="shared" si="14"/>
        <v>-29.908415681233137</v>
      </c>
    </row>
    <row r="40" spans="6:14" x14ac:dyDescent="0.3">
      <c r="F40" s="3">
        <v>8</v>
      </c>
      <c r="G40" s="3">
        <v>4</v>
      </c>
      <c r="H40" s="3">
        <v>0</v>
      </c>
      <c r="I40" s="7">
        <f t="shared" si="13"/>
        <v>8.0666666666666664</v>
      </c>
      <c r="J40" s="5">
        <f t="shared" si="1"/>
        <v>121</v>
      </c>
      <c r="K40" s="3"/>
      <c r="L40" s="3"/>
      <c r="M40" s="3"/>
      <c r="N40" s="11">
        <f t="shared" si="14"/>
        <v>-31.286375912753922</v>
      </c>
    </row>
    <row r="41" spans="6:14" x14ac:dyDescent="0.3">
      <c r="F41" s="3">
        <v>8</v>
      </c>
      <c r="G41" s="3">
        <v>8</v>
      </c>
      <c r="H41" s="3">
        <v>0</v>
      </c>
      <c r="I41" s="7">
        <f t="shared" si="13"/>
        <v>8.1333333333333329</v>
      </c>
      <c r="J41" s="5">
        <f t="shared" si="1"/>
        <v>122</v>
      </c>
      <c r="K41" s="3"/>
      <c r="L41" s="3"/>
      <c r="M41" s="3"/>
      <c r="N41" s="11">
        <f t="shared" si="14"/>
        <v>-32.617686370575797</v>
      </c>
    </row>
    <row r="42" spans="6:14" x14ac:dyDescent="0.3">
      <c r="F42" s="3">
        <v>8</v>
      </c>
      <c r="G42" s="3">
        <v>12</v>
      </c>
      <c r="H42" s="3">
        <v>0</v>
      </c>
      <c r="I42" s="7">
        <f t="shared" si="13"/>
        <v>8.1999999999999993</v>
      </c>
      <c r="J42" s="5">
        <f t="shared" si="1"/>
        <v>122.99999999999999</v>
      </c>
      <c r="K42" s="3"/>
      <c r="L42" s="3"/>
      <c r="M42" s="3"/>
      <c r="N42" s="11">
        <f t="shared" si="14"/>
        <v>-33.902860249385697</v>
      </c>
    </row>
    <row r="43" spans="6:14" x14ac:dyDescent="0.3">
      <c r="F43" s="3">
        <v>8</v>
      </c>
      <c r="G43" s="3">
        <v>16</v>
      </c>
      <c r="H43" s="3">
        <v>0</v>
      </c>
      <c r="I43" s="7">
        <f t="shared" si="13"/>
        <v>8.2666666666666675</v>
      </c>
      <c r="J43" s="5">
        <f t="shared" si="1"/>
        <v>124.00000000000001</v>
      </c>
      <c r="K43" s="3"/>
      <c r="L43" s="3"/>
      <c r="M43" s="3"/>
      <c r="N43" s="11">
        <f t="shared" si="14"/>
        <v>-35.142585689093551</v>
      </c>
    </row>
    <row r="44" spans="6:14" x14ac:dyDescent="0.3">
      <c r="F44" s="3">
        <v>8</v>
      </c>
      <c r="G44" s="3">
        <v>20</v>
      </c>
      <c r="H44" s="3">
        <v>0</v>
      </c>
      <c r="I44" s="7">
        <f t="shared" si="13"/>
        <v>8.3333333333333339</v>
      </c>
      <c r="J44" s="5">
        <f t="shared" si="1"/>
        <v>125.00000000000001</v>
      </c>
      <c r="K44" s="3"/>
      <c r="L44" s="3"/>
      <c r="M44" s="3"/>
      <c r="N44" s="11">
        <f t="shared" si="14"/>
        <v>-36.337697293601714</v>
      </c>
    </row>
    <row r="45" spans="6:14" x14ac:dyDescent="0.3">
      <c r="F45" s="3">
        <v>8</v>
      </c>
      <c r="G45" s="3">
        <v>24</v>
      </c>
      <c r="H45" s="3">
        <v>0</v>
      </c>
      <c r="I45" s="7">
        <f t="shared" si="13"/>
        <v>8.4</v>
      </c>
      <c r="J45" s="5">
        <f t="shared" si="1"/>
        <v>126</v>
      </c>
      <c r="K45" s="3"/>
      <c r="L45" s="3"/>
      <c r="M45" s="3"/>
      <c r="N45" s="11">
        <f t="shared" si="14"/>
        <v>-37.489149788252469</v>
      </c>
    </row>
    <row r="46" spans="6:14" x14ac:dyDescent="0.3">
      <c r="F46" s="3">
        <v>8</v>
      </c>
      <c r="G46" s="3">
        <v>28</v>
      </c>
      <c r="H46" s="3">
        <v>0</v>
      </c>
      <c r="I46" s="7">
        <f t="shared" si="13"/>
        <v>8.4666666666666668</v>
      </c>
      <c r="J46" s="5">
        <f t="shared" si="1"/>
        <v>127</v>
      </c>
      <c r="K46" s="3"/>
      <c r="L46" s="3"/>
      <c r="M46" s="3"/>
      <c r="N46" s="11">
        <f t="shared" si="14"/>
        <v>-38.597994008181495</v>
      </c>
    </row>
    <row r="47" spans="6:14" x14ac:dyDescent="0.3">
      <c r="F47" s="3">
        <v>8</v>
      </c>
      <c r="G47" s="3">
        <v>32</v>
      </c>
      <c r="H47" s="3">
        <v>0</v>
      </c>
      <c r="I47" s="7">
        <f t="shared" si="13"/>
        <v>8.5333333333333332</v>
      </c>
      <c r="J47" s="5">
        <f t="shared" si="1"/>
        <v>128</v>
      </c>
      <c r="K47" s="3"/>
      <c r="L47" s="3"/>
      <c r="M47" s="3"/>
      <c r="N47" s="11">
        <f t="shared" si="14"/>
        <v>-39.665355299467947</v>
      </c>
    </row>
    <row r="48" spans="6:14" x14ac:dyDescent="0.3">
      <c r="F48" s="3">
        <v>8</v>
      </c>
      <c r="G48" s="3">
        <v>36</v>
      </c>
      <c r="H48" s="3">
        <v>0</v>
      </c>
      <c r="I48" s="7">
        <f t="shared" si="13"/>
        <v>8.6</v>
      </c>
      <c r="J48" s="5">
        <f t="shared" si="1"/>
        <v>129</v>
      </c>
      <c r="K48" s="3"/>
      <c r="L48" s="3"/>
      <c r="M48" s="3"/>
      <c r="N48" s="11">
        <f t="shared" si="14"/>
        <v>-40.692414327754541</v>
      </c>
    </row>
    <row r="49" spans="6:24" x14ac:dyDescent="0.3">
      <c r="F49" s="3">
        <v>8</v>
      </c>
      <c r="G49" s="3">
        <v>40</v>
      </c>
      <c r="H49" s="3">
        <v>0</v>
      </c>
      <c r="I49" s="7">
        <f t="shared" si="13"/>
        <v>8.6666666666666661</v>
      </c>
      <c r="J49" s="5">
        <f t="shared" si="1"/>
        <v>130</v>
      </c>
      <c r="K49" s="3"/>
      <c r="L49" s="3"/>
      <c r="M49" s="3"/>
      <c r="N49" s="11">
        <f t="shared" si="14"/>
        <v>-41.680390222968214</v>
      </c>
    </row>
    <row r="50" spans="6:24" x14ac:dyDescent="0.3">
      <c r="F50" s="3">
        <v>8</v>
      </c>
      <c r="G50" s="3">
        <v>44</v>
      </c>
      <c r="H50" s="3">
        <v>0</v>
      </c>
      <c r="I50" s="7">
        <f t="shared" si="13"/>
        <v>8.7333333333333325</v>
      </c>
      <c r="J50" s="5">
        <f t="shared" si="1"/>
        <v>131</v>
      </c>
      <c r="K50" s="3"/>
      <c r="L50" s="3"/>
      <c r="M50" s="3"/>
      <c r="N50" s="11">
        <f t="shared" si="14"/>
        <v>-42.630525941300995</v>
      </c>
    </row>
    <row r="51" spans="6:24" x14ac:dyDescent="0.3">
      <c r="F51" s="3">
        <v>8</v>
      </c>
      <c r="G51" s="3">
        <v>48</v>
      </c>
      <c r="H51" s="3">
        <v>0</v>
      </c>
      <c r="I51" s="7">
        <f t="shared" si="13"/>
        <v>8.8000000000000007</v>
      </c>
      <c r="J51" s="5">
        <f t="shared" si="1"/>
        <v>132</v>
      </c>
      <c r="K51" s="3"/>
      <c r="L51" s="3"/>
      <c r="M51" s="3"/>
      <c r="N51" s="11">
        <f t="shared" si="14"/>
        <v>-43.544075693835822</v>
      </c>
    </row>
    <row r="52" spans="6:24" x14ac:dyDescent="0.3">
      <c r="F52" s="3">
        <v>8</v>
      </c>
      <c r="G52" s="3">
        <v>52</v>
      </c>
      <c r="H52" s="3">
        <v>0</v>
      </c>
      <c r="I52" s="7">
        <f t="shared" si="13"/>
        <v>8.8666666666666671</v>
      </c>
      <c r="J52" s="5">
        <f t="shared" si="1"/>
        <v>133</v>
      </c>
      <c r="K52" s="3"/>
      <c r="L52" s="3"/>
      <c r="M52" s="3"/>
      <c r="N52" s="11">
        <f t="shared" si="14"/>
        <v>-44.422294272247512</v>
      </c>
    </row>
    <row r="53" spans="6:24" x14ac:dyDescent="0.3">
      <c r="F53" s="3">
        <v>8</v>
      </c>
      <c r="G53" s="3">
        <v>56</v>
      </c>
      <c r="H53" s="3">
        <v>0</v>
      </c>
      <c r="I53" s="7">
        <f t="shared" si="13"/>
        <v>8.9333333333333336</v>
      </c>
      <c r="J53" s="5">
        <f t="shared" si="1"/>
        <v>134</v>
      </c>
      <c r="K53" s="3"/>
      <c r="L53" s="3"/>
      <c r="M53" s="3"/>
      <c r="N53" s="11">
        <f t="shared" si="14"/>
        <v>-45.266428093187557</v>
      </c>
      <c r="U53" s="1" t="s">
        <v>8</v>
      </c>
      <c r="V53" s="2" t="s">
        <v>9</v>
      </c>
      <c r="W53" s="2" t="s">
        <v>10</v>
      </c>
      <c r="X53" s="2" t="s">
        <v>11</v>
      </c>
    </row>
    <row r="54" spans="6:24" x14ac:dyDescent="0.3">
      <c r="F54" s="3">
        <v>9</v>
      </c>
      <c r="G54" s="3">
        <v>0</v>
      </c>
      <c r="H54" s="3">
        <v>0</v>
      </c>
      <c r="I54" s="7">
        <f t="shared" si="13"/>
        <v>9</v>
      </c>
      <c r="J54" s="5">
        <f t="shared" si="1"/>
        <v>135</v>
      </c>
      <c r="K54" s="3"/>
      <c r="L54" s="3"/>
      <c r="M54" s="3"/>
      <c r="N54" s="11">
        <f t="shared" si="14"/>
        <v>-46.077707781869869</v>
      </c>
      <c r="U54" s="1">
        <v>0</v>
      </c>
      <c r="V54" s="2" t="s">
        <v>12</v>
      </c>
      <c r="W54" s="2" t="s">
        <v>13</v>
      </c>
      <c r="X54" s="2" t="s">
        <v>14</v>
      </c>
    </row>
    <row r="55" spans="6:24" x14ac:dyDescent="0.3">
      <c r="F55" s="3">
        <v>9</v>
      </c>
      <c r="G55" s="3">
        <v>4</v>
      </c>
      <c r="H55" s="3">
        <v>0</v>
      </c>
      <c r="I55" s="7">
        <f t="shared" si="13"/>
        <v>9.0666666666666664</v>
      </c>
      <c r="J55" s="5">
        <f t="shared" si="1"/>
        <v>136</v>
      </c>
      <c r="K55" s="3"/>
      <c r="L55" s="3"/>
      <c r="M55" s="3"/>
      <c r="N55" s="11">
        <f t="shared" si="14"/>
        <v>-46.857342119953472</v>
      </c>
      <c r="U55" s="1">
        <v>15</v>
      </c>
      <c r="V55" s="2" t="s">
        <v>15</v>
      </c>
      <c r="W55" s="2" t="s">
        <v>16</v>
      </c>
      <c r="X55" s="2"/>
    </row>
    <row r="56" spans="6:24" x14ac:dyDescent="0.3">
      <c r="F56" s="3">
        <v>9</v>
      </c>
      <c r="G56" s="3">
        <v>8</v>
      </c>
      <c r="H56" s="3">
        <v>0</v>
      </c>
      <c r="I56" s="7">
        <f t="shared" si="13"/>
        <v>9.1333333333333329</v>
      </c>
      <c r="J56" s="5">
        <f t="shared" si="1"/>
        <v>137</v>
      </c>
      <c r="K56" s="3"/>
      <c r="L56" s="3"/>
      <c r="M56" s="3"/>
      <c r="N56" s="11">
        <f t="shared" si="14"/>
        <v>-47.606513191353187</v>
      </c>
      <c r="U56" s="1">
        <v>30</v>
      </c>
      <c r="V56" s="2" t="s">
        <v>17</v>
      </c>
      <c r="W56" s="2" t="s">
        <v>18</v>
      </c>
      <c r="X56" s="2"/>
    </row>
    <row r="57" spans="6:24" x14ac:dyDescent="0.3">
      <c r="F57" s="3">
        <v>9</v>
      </c>
      <c r="G57" s="3">
        <v>12</v>
      </c>
      <c r="H57" s="3">
        <v>0</v>
      </c>
      <c r="I57" s="7">
        <f t="shared" si="13"/>
        <v>9.1999999999999993</v>
      </c>
      <c r="J57" s="5">
        <f t="shared" si="1"/>
        <v>138</v>
      </c>
      <c r="K57" s="3"/>
      <c r="L57" s="3"/>
      <c r="M57" s="3"/>
      <c r="N57" s="11">
        <f t="shared" si="14"/>
        <v>-48.326372570715996</v>
      </c>
      <c r="U57" s="1">
        <v>45</v>
      </c>
      <c r="V57" s="2" t="s">
        <v>19</v>
      </c>
      <c r="W57" s="2" t="s">
        <v>20</v>
      </c>
      <c r="X57" s="2"/>
    </row>
    <row r="58" spans="6:24" x14ac:dyDescent="0.3">
      <c r="F58" s="3">
        <v>9</v>
      </c>
      <c r="G58" s="3">
        <v>16</v>
      </c>
      <c r="H58" s="3">
        <v>0</v>
      </c>
      <c r="I58" s="7">
        <f t="shared" si="13"/>
        <v>9.2666666666666675</v>
      </c>
      <c r="J58" s="5">
        <f t="shared" si="1"/>
        <v>139</v>
      </c>
      <c r="K58" s="3"/>
      <c r="L58" s="3"/>
      <c r="M58" s="3"/>
      <c r="N58" s="11">
        <f t="shared" si="14"/>
        <v>-49.018038411896519</v>
      </c>
      <c r="U58" s="1">
        <v>60</v>
      </c>
      <c r="V58" s="2" t="s">
        <v>21</v>
      </c>
      <c r="W58" s="2" t="s">
        <v>22</v>
      </c>
      <c r="X58" s="2"/>
    </row>
    <row r="59" spans="6:24" x14ac:dyDescent="0.3">
      <c r="F59" s="3">
        <v>9</v>
      </c>
      <c r="G59" s="3">
        <v>20</v>
      </c>
      <c r="H59" s="3">
        <v>0</v>
      </c>
      <c r="I59" s="7">
        <f t="shared" si="13"/>
        <v>9.3333333333333339</v>
      </c>
      <c r="J59" s="5">
        <f t="shared" si="1"/>
        <v>140</v>
      </c>
      <c r="K59" s="3"/>
      <c r="L59" s="3"/>
      <c r="M59" s="3"/>
      <c r="N59" s="11">
        <f t="shared" si="14"/>
        <v>-49.68259330701958</v>
      </c>
      <c r="U59" s="1">
        <v>75</v>
      </c>
      <c r="V59" s="2" t="s">
        <v>23</v>
      </c>
      <c r="W59" s="2" t="s">
        <v>24</v>
      </c>
      <c r="X59" s="2"/>
    </row>
    <row r="60" spans="6:24" x14ac:dyDescent="0.3">
      <c r="F60" s="3">
        <v>9</v>
      </c>
      <c r="G60" s="3">
        <v>24</v>
      </c>
      <c r="H60" s="3">
        <v>0</v>
      </c>
      <c r="I60" s="7">
        <f t="shared" si="13"/>
        <v>9.4</v>
      </c>
      <c r="J60" s="5">
        <f t="shared" si="1"/>
        <v>141</v>
      </c>
      <c r="K60" s="3"/>
      <c r="L60" s="3"/>
      <c r="M60" s="3"/>
      <c r="N60" s="11">
        <f t="shared" si="14"/>
        <v>-50.321082800025302</v>
      </c>
      <c r="U60" s="1">
        <v>90</v>
      </c>
      <c r="V60" s="2" t="s">
        <v>25</v>
      </c>
      <c r="W60" s="2" t="s">
        <v>26</v>
      </c>
      <c r="X60" s="2"/>
    </row>
    <row r="61" spans="6:24" x14ac:dyDescent="0.3">
      <c r="F61" s="3">
        <v>9</v>
      </c>
      <c r="G61" s="3">
        <v>28</v>
      </c>
      <c r="H61" s="3">
        <v>0</v>
      </c>
      <c r="I61" s="7">
        <f t="shared" si="13"/>
        <v>9.4666666666666668</v>
      </c>
      <c r="J61" s="5">
        <f t="shared" si="1"/>
        <v>142</v>
      </c>
      <c r="K61" s="3"/>
      <c r="L61" s="3"/>
      <c r="M61" s="3"/>
      <c r="N61" s="11">
        <f t="shared" si="14"/>
        <v>-50.934514451516549</v>
      </c>
      <c r="U61" s="1">
        <v>105</v>
      </c>
      <c r="V61" s="2" t="s">
        <v>27</v>
      </c>
      <c r="W61" s="2" t="s">
        <v>28</v>
      </c>
      <c r="X61" s="2"/>
    </row>
    <row r="62" spans="6:24" x14ac:dyDescent="0.3">
      <c r="F62" s="3">
        <v>9</v>
      </c>
      <c r="G62" s="3">
        <v>32</v>
      </c>
      <c r="H62" s="3">
        <v>0</v>
      </c>
      <c r="I62" s="7">
        <f t="shared" si="13"/>
        <v>9.5333333333333332</v>
      </c>
      <c r="J62" s="5">
        <f t="shared" si="1"/>
        <v>143</v>
      </c>
      <c r="K62" s="3"/>
      <c r="L62" s="3"/>
      <c r="M62" s="3"/>
      <c r="N62" s="11">
        <f t="shared" si="14"/>
        <v>-51.523857363981293</v>
      </c>
      <c r="U62" s="8">
        <v>120</v>
      </c>
      <c r="V62" s="9" t="s">
        <v>29</v>
      </c>
      <c r="W62" s="9" t="s">
        <v>30</v>
      </c>
      <c r="X62" s="2"/>
    </row>
    <row r="63" spans="6:24" x14ac:dyDescent="0.3">
      <c r="F63" s="3">
        <v>9</v>
      </c>
      <c r="G63" s="3">
        <v>36</v>
      </c>
      <c r="H63" s="3">
        <v>0</v>
      </c>
      <c r="I63" s="7">
        <f t="shared" si="13"/>
        <v>9.6</v>
      </c>
      <c r="J63" s="5">
        <f t="shared" si="1"/>
        <v>144</v>
      </c>
      <c r="K63" s="3"/>
      <c r="L63" s="3"/>
      <c r="M63" s="3"/>
      <c r="N63" s="11">
        <f t="shared" si="14"/>
        <v>-52.090042087859629</v>
      </c>
      <c r="U63" s="1">
        <v>135</v>
      </c>
      <c r="V63" s="2" t="s">
        <v>31</v>
      </c>
      <c r="W63" s="2" t="s">
        <v>32</v>
      </c>
      <c r="X63" s="2"/>
    </row>
    <row r="64" spans="6:24" x14ac:dyDescent="0.3">
      <c r="F64" s="3">
        <v>9</v>
      </c>
      <c r="G64" s="3">
        <v>40</v>
      </c>
      <c r="H64" s="3">
        <v>0</v>
      </c>
      <c r="I64" s="7">
        <f t="shared" si="13"/>
        <v>9.6666666666666661</v>
      </c>
      <c r="J64" s="5">
        <f t="shared" si="1"/>
        <v>145</v>
      </c>
      <c r="K64" s="3"/>
      <c r="L64" s="3"/>
      <c r="M64" s="3"/>
      <c r="N64" s="11">
        <f t="shared" si="14"/>
        <v>-52.633960839369479</v>
      </c>
      <c r="U64" s="1">
        <v>150</v>
      </c>
      <c r="V64" s="2" t="s">
        <v>33</v>
      </c>
      <c r="W64" s="2" t="s">
        <v>34</v>
      </c>
      <c r="X64" s="2"/>
    </row>
    <row r="65" spans="6:24" x14ac:dyDescent="0.3">
      <c r="F65" s="3">
        <v>9</v>
      </c>
      <c r="G65" s="3">
        <v>44</v>
      </c>
      <c r="H65" s="3">
        <v>0</v>
      </c>
      <c r="I65" s="7">
        <f t="shared" si="13"/>
        <v>9.7333333333333325</v>
      </c>
      <c r="J65" s="5">
        <f t="shared" si="1"/>
        <v>146</v>
      </c>
      <c r="K65" s="3"/>
      <c r="L65" s="3"/>
      <c r="M65" s="3"/>
      <c r="N65" s="11">
        <f t="shared" si="14"/>
        <v>-53.156467970458287</v>
      </c>
      <c r="U65" s="1">
        <v>165</v>
      </c>
      <c r="V65" s="2" t="s">
        <v>35</v>
      </c>
      <c r="W65" s="2" t="s">
        <v>36</v>
      </c>
      <c r="X65" s="2"/>
    </row>
    <row r="66" spans="6:24" x14ac:dyDescent="0.3">
      <c r="F66" s="3">
        <v>9</v>
      </c>
      <c r="G66" s="3">
        <v>48</v>
      </c>
      <c r="H66" s="3">
        <v>0</v>
      </c>
      <c r="I66" s="7">
        <f t="shared" si="13"/>
        <v>9.8000000000000007</v>
      </c>
      <c r="J66" s="5">
        <f t="shared" si="1"/>
        <v>147</v>
      </c>
      <c r="K66" s="3"/>
      <c r="L66" s="3"/>
      <c r="M66" s="3"/>
      <c r="N66" s="11">
        <f t="shared" si="14"/>
        <v>-53.658380639716555</v>
      </c>
      <c r="U66" s="1">
        <v>180</v>
      </c>
      <c r="V66" s="2" t="s">
        <v>37</v>
      </c>
      <c r="W66" s="2" t="s">
        <v>38</v>
      </c>
      <c r="X66" s="2" t="s">
        <v>39</v>
      </c>
    </row>
    <row r="67" spans="6:24" x14ac:dyDescent="0.3">
      <c r="F67" s="3">
        <v>9</v>
      </c>
      <c r="G67" s="3">
        <v>52</v>
      </c>
      <c r="H67" s="3">
        <v>0</v>
      </c>
      <c r="I67" s="7">
        <f t="shared" si="13"/>
        <v>9.8666666666666671</v>
      </c>
      <c r="J67" s="5">
        <f t="shared" si="1"/>
        <v>148</v>
      </c>
      <c r="K67" s="3"/>
      <c r="L67" s="3"/>
      <c r="M67" s="3"/>
      <c r="N67" s="11">
        <f t="shared" si="14"/>
        <v>-54.140479640609833</v>
      </c>
      <c r="U67" s="1">
        <v>195</v>
      </c>
      <c r="V67" s="2" t="s">
        <v>40</v>
      </c>
      <c r="W67" s="2" t="s">
        <v>41</v>
      </c>
      <c r="X67" s="2"/>
    </row>
    <row r="68" spans="6:24" x14ac:dyDescent="0.3">
      <c r="F68" s="3">
        <v>9</v>
      </c>
      <c r="G68" s="3">
        <v>56</v>
      </c>
      <c r="H68" s="3">
        <v>0</v>
      </c>
      <c r="I68" s="7">
        <f t="shared" si="13"/>
        <v>9.9333333333333336</v>
      </c>
      <c r="J68" s="5">
        <f t="shared" si="1"/>
        <v>149</v>
      </c>
      <c r="K68" s="3"/>
      <c r="L68" s="3"/>
      <c r="M68" s="3"/>
      <c r="N68" s="11">
        <f t="shared" si="14"/>
        <v>-54.603510350013245</v>
      </c>
      <c r="U68" s="1">
        <v>210</v>
      </c>
      <c r="V68" s="2" t="s">
        <v>42</v>
      </c>
      <c r="W68" s="2" t="s">
        <v>43</v>
      </c>
      <c r="X68" s="2"/>
    </row>
    <row r="69" spans="6:24" x14ac:dyDescent="0.3">
      <c r="F69" s="3">
        <v>10</v>
      </c>
      <c r="G69" s="3">
        <v>0</v>
      </c>
      <c r="H69" s="3">
        <v>0</v>
      </c>
      <c r="I69" s="7">
        <f t="shared" si="13"/>
        <v>10</v>
      </c>
      <c r="J69" s="5">
        <f t="shared" si="1"/>
        <v>150</v>
      </c>
      <c r="K69" s="3"/>
      <c r="L69" s="3"/>
      <c r="M69" s="3"/>
      <c r="N69" s="11">
        <f t="shared" si="14"/>
        <v>-55.04818376583566</v>
      </c>
      <c r="U69" s="1">
        <v>225</v>
      </c>
      <c r="V69" s="2" t="s">
        <v>44</v>
      </c>
      <c r="W69" s="2" t="s">
        <v>45</v>
      </c>
      <c r="X69" s="2"/>
    </row>
    <row r="70" spans="6:24" x14ac:dyDescent="0.3">
      <c r="F70" s="3">
        <v>10</v>
      </c>
      <c r="G70" s="3">
        <v>4</v>
      </c>
      <c r="H70" s="3">
        <v>0</v>
      </c>
      <c r="I70" s="7">
        <f t="shared" si="13"/>
        <v>10.066666666666666</v>
      </c>
      <c r="J70" s="5">
        <f t="shared" si="1"/>
        <v>151</v>
      </c>
      <c r="K70" s="3"/>
      <c r="L70" s="3"/>
      <c r="M70" s="3"/>
      <c r="N70" s="11">
        <f t="shared" si="14"/>
        <v>-55.475177607569883</v>
      </c>
      <c r="U70" s="1">
        <v>240</v>
      </c>
      <c r="V70" s="2" t="s">
        <v>46</v>
      </c>
      <c r="W70" s="2" t="s">
        <v>47</v>
      </c>
      <c r="X70" s="2"/>
    </row>
    <row r="71" spans="6:24" x14ac:dyDescent="0.3">
      <c r="F71" s="3">
        <v>10</v>
      </c>
      <c r="G71" s="3">
        <v>8</v>
      </c>
      <c r="H71" s="3">
        <v>0</v>
      </c>
      <c r="I71" s="7">
        <f t="shared" si="13"/>
        <v>10.133333333333333</v>
      </c>
      <c r="J71" s="5">
        <f t="shared" si="1"/>
        <v>152</v>
      </c>
      <c r="K71" s="3"/>
      <c r="L71" s="3"/>
      <c r="M71" s="3"/>
      <c r="N71" s="11">
        <f t="shared" si="14"/>
        <v>-55.885137457976569</v>
      </c>
      <c r="U71" s="1">
        <v>255</v>
      </c>
      <c r="V71" s="2" t="s">
        <v>48</v>
      </c>
      <c r="W71" s="2" t="s">
        <v>49</v>
      </c>
      <c r="X71" s="2"/>
    </row>
    <row r="72" spans="6:24" x14ac:dyDescent="0.3">
      <c r="F72" s="3">
        <v>10</v>
      </c>
      <c r="G72" s="3">
        <v>12</v>
      </c>
      <c r="H72" s="3">
        <v>0</v>
      </c>
      <c r="I72" s="7">
        <f t="shared" si="13"/>
        <v>10.199999999999999</v>
      </c>
      <c r="J72" s="5">
        <f t="shared" si="1"/>
        <v>153</v>
      </c>
      <c r="K72" s="3"/>
      <c r="L72" s="3"/>
      <c r="M72" s="3"/>
      <c r="N72" s="11">
        <f t="shared" si="14"/>
        <v>-56.278677927874483</v>
      </c>
      <c r="U72" s="1">
        <v>270</v>
      </c>
      <c r="V72" s="2" t="s">
        <v>50</v>
      </c>
      <c r="W72" s="2" t="s">
        <v>51</v>
      </c>
      <c r="X72" s="2"/>
    </row>
    <row r="73" spans="6:24" x14ac:dyDescent="0.3">
      <c r="F73" s="3">
        <v>10</v>
      </c>
      <c r="G73" s="3">
        <v>16</v>
      </c>
      <c r="H73" s="3">
        <v>0</v>
      </c>
      <c r="I73" s="7">
        <f t="shared" si="13"/>
        <v>10.266666666666667</v>
      </c>
      <c r="J73" s="5">
        <f t="shared" ref="J73:J136" si="15">((((H73/60)+G73)/60)+F73)*15</f>
        <v>154</v>
      </c>
      <c r="K73" s="3"/>
      <c r="L73" s="3"/>
      <c r="M73" s="3"/>
      <c r="N73" s="11">
        <f t="shared" si="14"/>
        <v>-56.656383829237399</v>
      </c>
      <c r="U73" s="1">
        <v>285</v>
      </c>
      <c r="V73" s="2" t="s">
        <v>52</v>
      </c>
      <c r="W73" s="2" t="s">
        <v>53</v>
      </c>
      <c r="X73" s="2"/>
    </row>
    <row r="74" spans="6:24" x14ac:dyDescent="0.3">
      <c r="F74" s="3">
        <v>10</v>
      </c>
      <c r="G74" s="3">
        <v>20</v>
      </c>
      <c r="H74" s="3">
        <v>0</v>
      </c>
      <c r="I74" s="7">
        <f t="shared" si="13"/>
        <v>10.333333333333334</v>
      </c>
      <c r="J74" s="5">
        <f t="shared" si="15"/>
        <v>155</v>
      </c>
      <c r="K74" s="3"/>
      <c r="L74" s="3"/>
      <c r="M74" s="3"/>
      <c r="N74" s="11">
        <f t="shared" si="14"/>
        <v>-57.0188113445531</v>
      </c>
      <c r="U74" s="8">
        <v>300</v>
      </c>
      <c r="V74" s="9" t="s">
        <v>54</v>
      </c>
      <c r="W74" s="9" t="s">
        <v>55</v>
      </c>
      <c r="X74" s="2"/>
    </row>
    <row r="75" spans="6:24" x14ac:dyDescent="0.3">
      <c r="F75" s="3">
        <v>10</v>
      </c>
      <c r="G75" s="3">
        <v>24</v>
      </c>
      <c r="H75" s="3">
        <v>0</v>
      </c>
      <c r="I75" s="7">
        <f t="shared" si="13"/>
        <v>10.4</v>
      </c>
      <c r="J75" s="5">
        <f t="shared" si="15"/>
        <v>156</v>
      </c>
      <c r="K75" s="3"/>
      <c r="L75" s="3"/>
      <c r="M75" s="3"/>
      <c r="N75" s="11">
        <f t="shared" si="14"/>
        <v>-57.366489182741397</v>
      </c>
      <c r="U75" s="1">
        <v>315</v>
      </c>
      <c r="V75" s="2" t="s">
        <v>56</v>
      </c>
      <c r="W75" s="2" t="s">
        <v>57</v>
      </c>
      <c r="X75" s="2"/>
    </row>
    <row r="76" spans="6:24" x14ac:dyDescent="0.3">
      <c r="F76" s="3">
        <v>10</v>
      </c>
      <c r="G76" s="3">
        <v>28</v>
      </c>
      <c r="H76" s="3">
        <v>0</v>
      </c>
      <c r="I76" s="7">
        <f t="shared" si="13"/>
        <v>10.466666666666667</v>
      </c>
      <c r="J76" s="5">
        <f t="shared" si="15"/>
        <v>157</v>
      </c>
      <c r="K76" s="3"/>
      <c r="L76" s="3"/>
      <c r="M76" s="3"/>
      <c r="N76" s="11">
        <f t="shared" si="14"/>
        <v>-57.699919713909615</v>
      </c>
      <c r="U76" s="1">
        <v>330</v>
      </c>
      <c r="V76" s="2" t="s">
        <v>58</v>
      </c>
      <c r="W76" s="2" t="s">
        <v>59</v>
      </c>
      <c r="X76" s="2"/>
    </row>
    <row r="77" spans="6:24" x14ac:dyDescent="0.3">
      <c r="F77" s="3">
        <v>10</v>
      </c>
      <c r="G77" s="3">
        <v>32</v>
      </c>
      <c r="H77" s="3">
        <v>0</v>
      </c>
      <c r="I77" s="7">
        <f t="shared" si="13"/>
        <v>10.533333333333333</v>
      </c>
      <c r="J77" s="5">
        <f t="shared" si="15"/>
        <v>158</v>
      </c>
      <c r="K77" s="3"/>
      <c r="L77" s="3"/>
      <c r="M77" s="3"/>
      <c r="N77" s="11">
        <f t="shared" si="14"/>
        <v>-58.019580076893469</v>
      </c>
      <c r="U77" s="1">
        <v>345</v>
      </c>
      <c r="V77" s="2" t="s">
        <v>60</v>
      </c>
      <c r="W77" s="2" t="s">
        <v>61</v>
      </c>
      <c r="X77" s="2"/>
    </row>
    <row r="78" spans="6:24" x14ac:dyDescent="0.3">
      <c r="F78" s="3">
        <v>10</v>
      </c>
      <c r="G78" s="3">
        <v>36</v>
      </c>
      <c r="H78" s="3">
        <v>0</v>
      </c>
      <c r="I78" s="7">
        <f t="shared" si="13"/>
        <v>10.6</v>
      </c>
      <c r="J78" s="5">
        <f t="shared" si="15"/>
        <v>159</v>
      </c>
      <c r="K78" s="3"/>
      <c r="L78" s="3"/>
      <c r="M78" s="3"/>
      <c r="N78" s="11">
        <f t="shared" si="14"/>
        <v>-58.325923254931794</v>
      </c>
    </row>
    <row r="79" spans="6:24" x14ac:dyDescent="0.3">
      <c r="F79" s="3">
        <v>10</v>
      </c>
      <c r="G79" s="3">
        <v>40</v>
      </c>
      <c r="H79" s="3">
        <v>0</v>
      </c>
      <c r="I79" s="7">
        <f t="shared" si="13"/>
        <v>10.666666666666666</v>
      </c>
      <c r="J79" s="5">
        <f t="shared" si="15"/>
        <v>160</v>
      </c>
      <c r="K79" s="3"/>
      <c r="L79" s="3"/>
      <c r="M79" s="3"/>
      <c r="N79" s="11">
        <f t="shared" si="14"/>
        <v>-58.6193791159927</v>
      </c>
    </row>
    <row r="80" spans="6:24" x14ac:dyDescent="0.3">
      <c r="F80" s="3">
        <v>10</v>
      </c>
      <c r="G80" s="3">
        <v>44</v>
      </c>
      <c r="H80" s="3">
        <v>0</v>
      </c>
      <c r="I80" s="7">
        <f t="shared" si="13"/>
        <v>10.733333333333333</v>
      </c>
      <c r="J80" s="5">
        <f t="shared" si="15"/>
        <v>161</v>
      </c>
      <c r="K80" s="3"/>
      <c r="L80" s="3"/>
      <c r="M80" s="3"/>
      <c r="N80" s="11">
        <f t="shared" si="14"/>
        <v>-58.900355415239595</v>
      </c>
    </row>
    <row r="81" spans="6:14" x14ac:dyDescent="0.3">
      <c r="F81" s="3">
        <v>10</v>
      </c>
      <c r="G81" s="3">
        <v>48</v>
      </c>
      <c r="H81" s="3">
        <v>0</v>
      </c>
      <c r="I81" s="7">
        <f t="shared" si="13"/>
        <v>10.8</v>
      </c>
      <c r="J81" s="5">
        <f t="shared" si="15"/>
        <v>162</v>
      </c>
      <c r="K81" s="3"/>
      <c r="L81" s="3"/>
      <c r="M81" s="3"/>
      <c r="N81" s="11">
        <f t="shared" si="14"/>
        <v>-59.169238757927403</v>
      </c>
    </row>
    <row r="82" spans="6:14" x14ac:dyDescent="0.3">
      <c r="F82" s="3">
        <v>10</v>
      </c>
      <c r="G82" s="3">
        <v>52</v>
      </c>
      <c r="H82" s="3">
        <v>0</v>
      </c>
      <c r="I82" s="7">
        <f t="shared" si="13"/>
        <v>10.866666666666667</v>
      </c>
      <c r="J82" s="5">
        <f t="shared" si="15"/>
        <v>163</v>
      </c>
      <c r="K82" s="3"/>
      <c r="L82" s="3"/>
      <c r="M82" s="3"/>
      <c r="N82" s="11">
        <f t="shared" si="14"/>
        <v>-59.426395521676618</v>
      </c>
    </row>
    <row r="83" spans="6:14" x14ac:dyDescent="0.3">
      <c r="F83" s="3">
        <v>10</v>
      </c>
      <c r="G83" s="3">
        <v>56</v>
      </c>
      <c r="H83" s="3">
        <v>0</v>
      </c>
      <c r="I83" s="7">
        <f t="shared" si="13"/>
        <v>10.933333333333334</v>
      </c>
      <c r="J83" s="5">
        <f t="shared" si="15"/>
        <v>164</v>
      </c>
      <c r="K83" s="3"/>
      <c r="L83" s="3"/>
      <c r="M83" s="3"/>
      <c r="N83" s="11">
        <f t="shared" si="14"/>
        <v>-59.672172737609095</v>
      </c>
    </row>
    <row r="84" spans="6:14" x14ac:dyDescent="0.3">
      <c r="F84" s="3">
        <v>11</v>
      </c>
      <c r="G84" s="3">
        <v>0</v>
      </c>
      <c r="H84" s="3">
        <v>0</v>
      </c>
      <c r="I84" s="7">
        <f t="shared" si="13"/>
        <v>11</v>
      </c>
      <c r="J84" s="5">
        <f t="shared" si="15"/>
        <v>165</v>
      </c>
      <c r="K84" s="3"/>
      <c r="L84" s="3"/>
      <c r="M84" s="3"/>
      <c r="N84" s="11">
        <f t="shared" si="14"/>
        <v>-59.906898930261036</v>
      </c>
    </row>
    <row r="85" spans="6:14" x14ac:dyDescent="0.3">
      <c r="F85" s="3">
        <v>11</v>
      </c>
      <c r="G85" s="3">
        <v>4</v>
      </c>
      <c r="H85" s="3">
        <v>0</v>
      </c>
      <c r="I85" s="7">
        <f t="shared" si="13"/>
        <v>11.066666666666666</v>
      </c>
      <c r="J85" s="5">
        <f t="shared" si="15"/>
        <v>166</v>
      </c>
      <c r="K85" s="3"/>
      <c r="L85" s="3"/>
      <c r="M85" s="3"/>
      <c r="N85" s="11">
        <f t="shared" si="14"/>
        <v>-60.130884916533709</v>
      </c>
    </row>
    <row r="86" spans="6:14" x14ac:dyDescent="0.3">
      <c r="F86" s="3">
        <v>11</v>
      </c>
      <c r="G86" s="3">
        <v>8</v>
      </c>
      <c r="H86" s="3">
        <v>0</v>
      </c>
      <c r="I86" s="7">
        <f t="shared" si="13"/>
        <v>11.133333333333333</v>
      </c>
      <c r="J86" s="5">
        <f t="shared" si="15"/>
        <v>167</v>
      </c>
      <c r="K86" s="3"/>
      <c r="L86" s="3"/>
      <c r="M86" s="3"/>
      <c r="N86" s="11">
        <f t="shared" si="14"/>
        <v>-60.344424564214385</v>
      </c>
    </row>
    <row r="87" spans="6:14" x14ac:dyDescent="0.3">
      <c r="F87" s="3">
        <v>11</v>
      </c>
      <c r="G87" s="3">
        <v>12</v>
      </c>
      <c r="H87" s="3">
        <v>0</v>
      </c>
      <c r="I87" s="7">
        <f t="shared" si="13"/>
        <v>11.2</v>
      </c>
      <c r="J87" s="5">
        <f t="shared" si="15"/>
        <v>168</v>
      </c>
      <c r="K87" s="3"/>
      <c r="L87" s="3"/>
      <c r="M87" s="3"/>
      <c r="N87" s="11">
        <f t="shared" si="14"/>
        <v>-60.547795510809955</v>
      </c>
    </row>
    <row r="88" spans="6:14" x14ac:dyDescent="0.3">
      <c r="F88" s="3">
        <v>11</v>
      </c>
      <c r="G88" s="3">
        <v>16</v>
      </c>
      <c r="H88" s="3">
        <v>0</v>
      </c>
      <c r="I88" s="7">
        <f t="shared" si="13"/>
        <v>11.266666666666667</v>
      </c>
      <c r="J88" s="5">
        <f t="shared" si="15"/>
        <v>169</v>
      </c>
      <c r="K88" s="3"/>
      <c r="L88" s="3"/>
      <c r="M88" s="3"/>
      <c r="N88" s="11">
        <f t="shared" si="14"/>
        <v>-60.741259843594541</v>
      </c>
    </row>
    <row r="89" spans="6:14" x14ac:dyDescent="0.3">
      <c r="F89" s="3">
        <v>11</v>
      </c>
      <c r="G89" s="3">
        <v>20</v>
      </c>
      <c r="H89" s="3">
        <v>0</v>
      </c>
      <c r="I89" s="7">
        <f t="shared" ref="I89:I152" si="16">(((H89/60)+G89)/60)+F89</f>
        <v>11.333333333333334</v>
      </c>
      <c r="J89" s="5">
        <f t="shared" si="15"/>
        <v>170</v>
      </c>
      <c r="K89" s="3"/>
      <c r="L89" s="3"/>
      <c r="M89" s="3"/>
      <c r="N89" s="11">
        <f t="shared" ref="N89:N152" si="17">DEGREES(ATAN(-(COS(RADIANS($S$6))/SIN(RADIANS($S$6)))*COS(RADIANS(J89-$S$7))))</f>
        <v>-60.92506474188869</v>
      </c>
    </row>
    <row r="90" spans="6:14" x14ac:dyDescent="0.3">
      <c r="F90" s="3">
        <v>11</v>
      </c>
      <c r="G90" s="3">
        <v>24</v>
      </c>
      <c r="H90" s="3">
        <v>0</v>
      </c>
      <c r="I90" s="7">
        <f t="shared" si="16"/>
        <v>11.4</v>
      </c>
      <c r="J90" s="5">
        <f t="shared" si="15"/>
        <v>171</v>
      </c>
      <c r="K90" s="3"/>
      <c r="L90" s="3"/>
      <c r="M90" s="3"/>
      <c r="N90" s="11">
        <f t="shared" si="17"/>
        <v>-61.099443082668344</v>
      </c>
    </row>
    <row r="91" spans="6:14" x14ac:dyDescent="0.3">
      <c r="F91" s="3">
        <v>11</v>
      </c>
      <c r="G91" s="3">
        <v>28</v>
      </c>
      <c r="H91" s="3">
        <v>0</v>
      </c>
      <c r="I91" s="7">
        <f t="shared" si="16"/>
        <v>11.466666666666667</v>
      </c>
      <c r="J91" s="5">
        <f t="shared" si="15"/>
        <v>172</v>
      </c>
      <c r="K91" s="3"/>
      <c r="L91" s="3"/>
      <c r="M91" s="3"/>
      <c r="N91" s="11">
        <f t="shared" si="17"/>
        <v>-61.264614010653375</v>
      </c>
    </row>
    <row r="92" spans="6:14" x14ac:dyDescent="0.3">
      <c r="F92" s="3">
        <v>11</v>
      </c>
      <c r="G92" s="3">
        <v>32</v>
      </c>
      <c r="H92" s="3">
        <v>0</v>
      </c>
      <c r="I92" s="7">
        <f t="shared" si="16"/>
        <v>11.533333333333333</v>
      </c>
      <c r="J92" s="5">
        <f t="shared" si="15"/>
        <v>173</v>
      </c>
      <c r="K92" s="3"/>
      <c r="L92" s="3"/>
      <c r="M92" s="3"/>
      <c r="N92" s="11">
        <f t="shared" si="17"/>
        <v>-61.420783474052747</v>
      </c>
    </row>
    <row r="93" spans="6:14" x14ac:dyDescent="0.3">
      <c r="F93" s="3">
        <v>11</v>
      </c>
      <c r="G93" s="3">
        <v>36</v>
      </c>
      <c r="H93" s="3">
        <v>0</v>
      </c>
      <c r="I93" s="7">
        <f t="shared" si="16"/>
        <v>11.6</v>
      </c>
      <c r="J93" s="5">
        <f t="shared" si="15"/>
        <v>174</v>
      </c>
      <c r="K93" s="3"/>
      <c r="L93" s="3"/>
      <c r="M93" s="3"/>
      <c r="N93" s="11">
        <f t="shared" si="17"/>
        <v>-61.568144727151342</v>
      </c>
    </row>
    <row r="94" spans="6:14" x14ac:dyDescent="0.3">
      <c r="F94" s="3">
        <v>11</v>
      </c>
      <c r="G94" s="3">
        <v>40</v>
      </c>
      <c r="H94" s="3">
        <v>0</v>
      </c>
      <c r="I94" s="7">
        <f t="shared" si="16"/>
        <v>11.666666666666666</v>
      </c>
      <c r="J94" s="5">
        <f t="shared" si="15"/>
        <v>175</v>
      </c>
      <c r="K94" s="3"/>
      <c r="L94" s="3"/>
      <c r="M94" s="3"/>
      <c r="N94" s="11">
        <f t="shared" si="17"/>
        <v>-61.706878800915106</v>
      </c>
    </row>
    <row r="95" spans="6:14" x14ac:dyDescent="0.3">
      <c r="F95" s="3">
        <v>11</v>
      </c>
      <c r="G95" s="3">
        <v>44</v>
      </c>
      <c r="H95" s="3">
        <v>0</v>
      </c>
      <c r="I95" s="7">
        <f t="shared" si="16"/>
        <v>11.733333333333333</v>
      </c>
      <c r="J95" s="5">
        <f t="shared" si="15"/>
        <v>176</v>
      </c>
      <c r="K95" s="3"/>
      <c r="L95" s="3"/>
      <c r="M95" s="3"/>
      <c r="N95" s="11">
        <f t="shared" si="17"/>
        <v>-61.837154942770553</v>
      </c>
    </row>
    <row r="96" spans="6:14" x14ac:dyDescent="0.3">
      <c r="F96" s="3">
        <v>11</v>
      </c>
      <c r="G96" s="3">
        <v>48</v>
      </c>
      <c r="H96" s="3">
        <v>0</v>
      </c>
      <c r="I96" s="7">
        <f t="shared" si="16"/>
        <v>11.8</v>
      </c>
      <c r="J96" s="5">
        <f t="shared" si="15"/>
        <v>177</v>
      </c>
      <c r="K96" s="3"/>
      <c r="L96" s="3"/>
      <c r="M96" s="3"/>
      <c r="N96" s="11">
        <f t="shared" si="17"/>
        <v>-61.959131026682897</v>
      </c>
    </row>
    <row r="97" spans="6:14" x14ac:dyDescent="0.3">
      <c r="F97" s="3">
        <v>11</v>
      </c>
      <c r="G97" s="3">
        <v>52</v>
      </c>
      <c r="H97" s="3">
        <v>0</v>
      </c>
      <c r="I97" s="7">
        <f t="shared" si="16"/>
        <v>11.866666666666667</v>
      </c>
      <c r="J97" s="5">
        <f t="shared" si="15"/>
        <v>178</v>
      </c>
      <c r="K97" s="3"/>
      <c r="L97" s="3"/>
      <c r="M97" s="3"/>
      <c r="N97" s="11">
        <f t="shared" si="17"/>
        <v>-62.072953934617928</v>
      </c>
    </row>
    <row r="98" spans="6:14" x14ac:dyDescent="0.3">
      <c r="F98" s="3">
        <v>11</v>
      </c>
      <c r="G98" s="3">
        <v>56</v>
      </c>
      <c r="H98" s="3">
        <v>0</v>
      </c>
      <c r="I98" s="7">
        <f t="shared" si="16"/>
        <v>11.933333333333334</v>
      </c>
      <c r="J98" s="5">
        <f t="shared" si="15"/>
        <v>179</v>
      </c>
      <c r="K98" s="3"/>
      <c r="L98" s="3"/>
      <c r="M98" s="3"/>
      <c r="N98" s="11">
        <f t="shared" si="17"/>
        <v>-62.178759910426976</v>
      </c>
    </row>
    <row r="99" spans="6:14" x14ac:dyDescent="0.3">
      <c r="F99" s="3">
        <v>12</v>
      </c>
      <c r="G99" s="3">
        <v>0</v>
      </c>
      <c r="H99" s="3">
        <v>0</v>
      </c>
      <c r="I99" s="7">
        <f t="shared" si="16"/>
        <v>12</v>
      </c>
      <c r="J99" s="5">
        <f t="shared" si="15"/>
        <v>180</v>
      </c>
      <c r="K99" s="3"/>
      <c r="L99" s="3"/>
      <c r="M99" s="3"/>
      <c r="N99" s="11">
        <f t="shared" si="17"/>
        <v>-62.276674887143415</v>
      </c>
    </row>
    <row r="100" spans="6:14" x14ac:dyDescent="0.3">
      <c r="F100" s="3">
        <v>12</v>
      </c>
      <c r="G100" s="3">
        <v>4</v>
      </c>
      <c r="H100" s="3">
        <v>0</v>
      </c>
      <c r="I100" s="7">
        <f t="shared" si="16"/>
        <v>12.066666666666666</v>
      </c>
      <c r="J100" s="5">
        <f t="shared" si="15"/>
        <v>181</v>
      </c>
      <c r="K100" s="3"/>
      <c r="L100" s="3"/>
      <c r="M100" s="3"/>
      <c r="N100" s="11">
        <f t="shared" si="17"/>
        <v>-62.36681478862473</v>
      </c>
    </row>
    <row r="101" spans="6:14" x14ac:dyDescent="0.3">
      <c r="F101" s="3">
        <v>12</v>
      </c>
      <c r="G101" s="3">
        <v>8</v>
      </c>
      <c r="H101" s="3">
        <v>0</v>
      </c>
      <c r="I101" s="7">
        <f t="shared" si="16"/>
        <v>12.133333333333333</v>
      </c>
      <c r="J101" s="5">
        <f t="shared" si="15"/>
        <v>182</v>
      </c>
      <c r="K101" s="3"/>
      <c r="L101" s="3"/>
      <c r="M101" s="3"/>
      <c r="N101" s="11">
        <f t="shared" si="17"/>
        <v>-62.449285806417073</v>
      </c>
    </row>
    <row r="102" spans="6:14" x14ac:dyDescent="0.3">
      <c r="F102" s="3">
        <v>12</v>
      </c>
      <c r="G102" s="3">
        <v>12</v>
      </c>
      <c r="H102" s="3">
        <v>0</v>
      </c>
      <c r="I102" s="7">
        <f t="shared" si="16"/>
        <v>12.2</v>
      </c>
      <c r="J102" s="5">
        <f t="shared" si="15"/>
        <v>183</v>
      </c>
      <c r="K102" s="3"/>
      <c r="L102" s="3"/>
      <c r="M102" s="3"/>
      <c r="N102" s="11">
        <f t="shared" si="17"/>
        <v>-62.524184652660146</v>
      </c>
    </row>
    <row r="103" spans="6:14" x14ac:dyDescent="0.3">
      <c r="F103" s="3">
        <v>12</v>
      </c>
      <c r="G103" s="3">
        <v>16</v>
      </c>
      <c r="H103" s="3">
        <v>0</v>
      </c>
      <c r="I103" s="7">
        <f t="shared" si="16"/>
        <v>12.266666666666667</v>
      </c>
      <c r="J103" s="5">
        <f t="shared" si="15"/>
        <v>184</v>
      </c>
      <c r="K103" s="3"/>
      <c r="L103" s="3"/>
      <c r="M103" s="3"/>
      <c r="N103" s="11">
        <f t="shared" si="17"/>
        <v>-62.591598789789167</v>
      </c>
    </row>
    <row r="104" spans="6:14" x14ac:dyDescent="0.3">
      <c r="F104" s="3">
        <v>12</v>
      </c>
      <c r="G104" s="3">
        <v>20</v>
      </c>
      <c r="H104" s="3">
        <v>0</v>
      </c>
      <c r="I104" s="7">
        <f t="shared" si="16"/>
        <v>12.333333333333334</v>
      </c>
      <c r="J104" s="5">
        <f t="shared" si="15"/>
        <v>185</v>
      </c>
      <c r="K104" s="3"/>
      <c r="L104" s="3"/>
      <c r="M104" s="3"/>
      <c r="N104" s="11">
        <f t="shared" si="17"/>
        <v>-62.65160663773036</v>
      </c>
    </row>
    <row r="105" spans="6:14" x14ac:dyDescent="0.3">
      <c r="F105" s="3">
        <v>12</v>
      </c>
      <c r="G105" s="3">
        <v>24</v>
      </c>
      <c r="H105" s="3">
        <v>0</v>
      </c>
      <c r="I105" s="7">
        <f t="shared" si="16"/>
        <v>12.4</v>
      </c>
      <c r="J105" s="5">
        <f t="shared" si="15"/>
        <v>186</v>
      </c>
      <c r="K105" s="3"/>
      <c r="L105" s="3"/>
      <c r="M105" s="3"/>
      <c r="N105" s="11">
        <f t="shared" si="17"/>
        <v>-62.704277759223373</v>
      </c>
    </row>
    <row r="106" spans="6:14" x14ac:dyDescent="0.3">
      <c r="F106" s="3">
        <v>12</v>
      </c>
      <c r="G106" s="3">
        <v>28</v>
      </c>
      <c r="H106" s="3">
        <v>0</v>
      </c>
      <c r="I106" s="7">
        <f t="shared" si="16"/>
        <v>12.466666666666667</v>
      </c>
      <c r="J106" s="5">
        <f t="shared" si="15"/>
        <v>187</v>
      </c>
      <c r="K106" s="3"/>
      <c r="L106" s="3"/>
      <c r="M106" s="3"/>
      <c r="N106" s="11">
        <f t="shared" si="17"/>
        <v>-62.749673023842782</v>
      </c>
    </row>
    <row r="107" spans="6:14" x14ac:dyDescent="0.3">
      <c r="F107" s="3">
        <v>12</v>
      </c>
      <c r="G107" s="3">
        <v>32</v>
      </c>
      <c r="H107" s="3">
        <v>0</v>
      </c>
      <c r="I107" s="7">
        <f t="shared" si="16"/>
        <v>12.533333333333333</v>
      </c>
      <c r="J107" s="5">
        <f t="shared" si="15"/>
        <v>188</v>
      </c>
      <c r="K107" s="3"/>
      <c r="L107" s="3"/>
      <c r="M107" s="3"/>
      <c r="N107" s="11">
        <f t="shared" si="17"/>
        <v>-62.787844751228619</v>
      </c>
    </row>
    <row r="108" spans="6:14" x14ac:dyDescent="0.3">
      <c r="F108" s="3">
        <v>12</v>
      </c>
      <c r="G108" s="3">
        <v>36</v>
      </c>
      <c r="H108" s="3">
        <v>0</v>
      </c>
      <c r="I108" s="7">
        <f t="shared" si="16"/>
        <v>12.6</v>
      </c>
      <c r="J108" s="5">
        <f t="shared" si="15"/>
        <v>189</v>
      </c>
      <c r="K108" s="3"/>
      <c r="L108" s="3"/>
      <c r="M108" s="3"/>
      <c r="N108" s="11">
        <f t="shared" si="17"/>
        <v>-62.818836833973599</v>
      </c>
    </row>
    <row r="109" spans="6:14" x14ac:dyDescent="0.3">
      <c r="F109" s="3">
        <v>12</v>
      </c>
      <c r="G109" s="3">
        <v>40</v>
      </c>
      <c r="H109" s="3">
        <v>0</v>
      </c>
      <c r="I109" s="7">
        <f t="shared" si="16"/>
        <v>12.666666666666666</v>
      </c>
      <c r="J109" s="5">
        <f t="shared" si="15"/>
        <v>190</v>
      </c>
      <c r="K109" s="3"/>
      <c r="L109" s="3"/>
      <c r="M109" s="3"/>
      <c r="N109" s="11">
        <f t="shared" si="17"/>
        <v>-62.842684840553723</v>
      </c>
    </row>
    <row r="110" spans="6:14" x14ac:dyDescent="0.3">
      <c r="F110" s="3">
        <v>12</v>
      </c>
      <c r="G110" s="3">
        <v>44</v>
      </c>
      <c r="H110" s="3">
        <v>0</v>
      </c>
      <c r="I110" s="7">
        <f t="shared" si="16"/>
        <v>12.733333333333333</v>
      </c>
      <c r="J110" s="5">
        <f t="shared" si="15"/>
        <v>191</v>
      </c>
      <c r="K110" s="3"/>
      <c r="L110" s="3"/>
      <c r="M110" s="3"/>
      <c r="N110" s="11">
        <f t="shared" si="17"/>
        <v>-62.859416098626816</v>
      </c>
    </row>
    <row r="111" spans="6:14" x14ac:dyDescent="0.3">
      <c r="F111" s="3">
        <v>12</v>
      </c>
      <c r="G111" s="3">
        <v>48</v>
      </c>
      <c r="H111" s="3">
        <v>0</v>
      </c>
      <c r="I111" s="7">
        <f t="shared" si="16"/>
        <v>12.8</v>
      </c>
      <c r="J111" s="5">
        <f t="shared" si="15"/>
        <v>192</v>
      </c>
      <c r="K111" s="3"/>
      <c r="L111" s="3"/>
      <c r="M111" s="3"/>
      <c r="N111" s="11">
        <f t="shared" si="17"/>
        <v>-62.869049758963108</v>
      </c>
    </row>
    <row r="112" spans="6:14" x14ac:dyDescent="0.3">
      <c r="F112" s="3">
        <v>12</v>
      </c>
      <c r="G112" s="3">
        <v>52</v>
      </c>
      <c r="H112" s="3">
        <v>0</v>
      </c>
      <c r="I112" s="7">
        <f t="shared" si="16"/>
        <v>12.866666666666667</v>
      </c>
      <c r="J112" s="5">
        <f t="shared" si="15"/>
        <v>193</v>
      </c>
      <c r="K112" s="3"/>
      <c r="L112" s="3"/>
      <c r="M112" s="3"/>
      <c r="N112" s="11">
        <f t="shared" si="17"/>
        <v>-62.871596840210778</v>
      </c>
    </row>
    <row r="113" spans="6:14" x14ac:dyDescent="0.3">
      <c r="F113" s="3">
        <v>12</v>
      </c>
      <c r="G113" s="3">
        <v>56</v>
      </c>
      <c r="H113" s="3">
        <v>0</v>
      </c>
      <c r="I113" s="7">
        <f t="shared" si="16"/>
        <v>12.933333333333334</v>
      </c>
      <c r="J113" s="5">
        <f t="shared" si="15"/>
        <v>194</v>
      </c>
      <c r="K113" s="3"/>
      <c r="L113" s="3"/>
      <c r="M113" s="3"/>
      <c r="N113" s="11">
        <f t="shared" si="17"/>
        <v>-62.867060254638822</v>
      </c>
    </row>
    <row r="114" spans="6:14" x14ac:dyDescent="0.3">
      <c r="F114" s="3">
        <f>1+F99</f>
        <v>13</v>
      </c>
      <c r="G114" s="3">
        <v>0</v>
      </c>
      <c r="H114" s="3">
        <v>0</v>
      </c>
      <c r="I114" s="7">
        <f t="shared" si="16"/>
        <v>13</v>
      </c>
      <c r="J114" s="5">
        <f t="shared" si="15"/>
        <v>195</v>
      </c>
      <c r="K114" s="3"/>
      <c r="L114" s="3"/>
      <c r="M114" s="3"/>
      <c r="N114" s="11">
        <f t="shared" si="17"/>
        <v>-62.855434814939372</v>
      </c>
    </row>
    <row r="115" spans="6:14" x14ac:dyDescent="0.3">
      <c r="F115" s="3">
        <f t="shared" ref="F115:F178" si="18">1+F100</f>
        <v>13</v>
      </c>
      <c r="G115" s="3">
        <v>4</v>
      </c>
      <c r="H115" s="3">
        <v>0</v>
      </c>
      <c r="I115" s="7">
        <f t="shared" si="16"/>
        <v>13.066666666666666</v>
      </c>
      <c r="J115" s="5">
        <f t="shared" si="15"/>
        <v>196</v>
      </c>
      <c r="K115" s="3"/>
      <c r="L115" s="3"/>
      <c r="M115" s="3"/>
      <c r="N115" s="11">
        <f t="shared" si="17"/>
        <v>-62.836707222111023</v>
      </c>
    </row>
    <row r="116" spans="6:14" x14ac:dyDescent="0.3">
      <c r="F116" s="3">
        <f t="shared" si="18"/>
        <v>13</v>
      </c>
      <c r="G116" s="3">
        <v>8</v>
      </c>
      <c r="H116" s="3">
        <v>0</v>
      </c>
      <c r="I116" s="7">
        <f t="shared" si="16"/>
        <v>13.133333333333333</v>
      </c>
      <c r="J116" s="5">
        <f t="shared" si="15"/>
        <v>197</v>
      </c>
      <c r="K116" s="3"/>
      <c r="L116" s="3"/>
      <c r="M116" s="3"/>
      <c r="N116" s="11">
        <f t="shared" si="17"/>
        <v>-62.810856034384635</v>
      </c>
    </row>
    <row r="117" spans="6:14" x14ac:dyDescent="0.3">
      <c r="F117" s="3">
        <f t="shared" si="18"/>
        <v>13</v>
      </c>
      <c r="G117" s="3">
        <v>12</v>
      </c>
      <c r="H117" s="3">
        <v>0</v>
      </c>
      <c r="I117" s="7">
        <f t="shared" si="16"/>
        <v>13.2</v>
      </c>
      <c r="J117" s="5">
        <f t="shared" si="15"/>
        <v>198</v>
      </c>
      <c r="K117" s="3"/>
      <c r="L117" s="3"/>
      <c r="M117" s="3"/>
      <c r="N117" s="11">
        <f t="shared" si="17"/>
        <v>-62.777851617092573</v>
      </c>
    </row>
    <row r="118" spans="6:14" x14ac:dyDescent="0.3">
      <c r="F118" s="3">
        <f t="shared" si="18"/>
        <v>13</v>
      </c>
      <c r="G118" s="3">
        <v>16</v>
      </c>
      <c r="H118" s="3">
        <v>0</v>
      </c>
      <c r="I118" s="7">
        <f t="shared" si="16"/>
        <v>13.266666666666667</v>
      </c>
      <c r="J118" s="5">
        <f t="shared" si="15"/>
        <v>199</v>
      </c>
      <c r="K118" s="3"/>
      <c r="L118" s="3"/>
      <c r="M118" s="3"/>
      <c r="N118" s="11">
        <f t="shared" si="17"/>
        <v>-62.737656073322178</v>
      </c>
    </row>
    <row r="119" spans="6:14" x14ac:dyDescent="0.3">
      <c r="F119" s="3">
        <f t="shared" si="18"/>
        <v>13</v>
      </c>
      <c r="G119" s="3">
        <v>20</v>
      </c>
      <c r="H119" s="3">
        <v>0</v>
      </c>
      <c r="I119" s="7">
        <f t="shared" si="16"/>
        <v>13.333333333333334</v>
      </c>
      <c r="J119" s="5">
        <f t="shared" si="15"/>
        <v>200</v>
      </c>
      <c r="K119" s="3"/>
      <c r="L119" s="3"/>
      <c r="M119" s="3"/>
      <c r="N119" s="11">
        <f t="shared" si="17"/>
        <v>-62.69022315513304</v>
      </c>
    </row>
    <row r="120" spans="6:14" x14ac:dyDescent="0.3">
      <c r="F120" s="3">
        <f t="shared" si="18"/>
        <v>13</v>
      </c>
      <c r="G120" s="3">
        <v>24</v>
      </c>
      <c r="H120" s="3">
        <v>0</v>
      </c>
      <c r="I120" s="7">
        <f t="shared" si="16"/>
        <v>13.4</v>
      </c>
      <c r="J120" s="5">
        <f t="shared" si="15"/>
        <v>201</v>
      </c>
      <c r="K120" s="3"/>
      <c r="L120" s="3"/>
      <c r="M120" s="3"/>
      <c r="N120" s="11">
        <f t="shared" si="17"/>
        <v>-62.635498155057469</v>
      </c>
    </row>
    <row r="121" spans="6:14" x14ac:dyDescent="0.3">
      <c r="F121" s="3">
        <f t="shared" si="18"/>
        <v>13</v>
      </c>
      <c r="G121" s="3">
        <v>28</v>
      </c>
      <c r="H121" s="3">
        <v>0</v>
      </c>
      <c r="I121" s="7">
        <f t="shared" si="16"/>
        <v>13.466666666666667</v>
      </c>
      <c r="J121" s="5">
        <f t="shared" si="15"/>
        <v>202</v>
      </c>
      <c r="K121" s="3"/>
      <c r="L121" s="3"/>
      <c r="M121" s="3"/>
      <c r="N121" s="11">
        <f t="shared" si="17"/>
        <v>-62.573417777541721</v>
      </c>
    </row>
    <row r="122" spans="6:14" x14ac:dyDescent="0.3">
      <c r="F122" s="3">
        <f t="shared" si="18"/>
        <v>13</v>
      </c>
      <c r="G122" s="3">
        <v>32</v>
      </c>
      <c r="H122" s="3">
        <v>0</v>
      </c>
      <c r="I122" s="7">
        <f t="shared" si="16"/>
        <v>13.533333333333333</v>
      </c>
      <c r="J122" s="5">
        <f t="shared" si="15"/>
        <v>203</v>
      </c>
      <c r="K122" s="3"/>
      <c r="L122" s="3"/>
      <c r="M122" s="3"/>
      <c r="N122" s="11">
        <f t="shared" si="17"/>
        <v>-62.503909989924722</v>
      </c>
    </row>
    <row r="123" spans="6:14" x14ac:dyDescent="0.3">
      <c r="F123" s="3">
        <f t="shared" si="18"/>
        <v>13</v>
      </c>
      <c r="G123" s="3">
        <v>36</v>
      </c>
      <c r="H123" s="3">
        <v>0</v>
      </c>
      <c r="I123" s="7">
        <f t="shared" si="16"/>
        <v>13.6</v>
      </c>
      <c r="J123" s="5">
        <f t="shared" si="15"/>
        <v>204</v>
      </c>
      <c r="K123" s="3"/>
      <c r="L123" s="3"/>
      <c r="M123" s="3"/>
      <c r="N123" s="11">
        <f t="shared" si="17"/>
        <v>-62.426893852488639</v>
      </c>
    </row>
    <row r="124" spans="6:14" x14ac:dyDescent="0.3">
      <c r="F124" s="3">
        <f t="shared" si="18"/>
        <v>13</v>
      </c>
      <c r="G124" s="3">
        <v>40</v>
      </c>
      <c r="H124" s="3">
        <v>0</v>
      </c>
      <c r="I124" s="7">
        <f t="shared" si="16"/>
        <v>13.666666666666666</v>
      </c>
      <c r="J124" s="5">
        <f t="shared" si="15"/>
        <v>205</v>
      </c>
      <c r="K124" s="3"/>
      <c r="L124" s="3"/>
      <c r="M124" s="3"/>
      <c r="N124" s="11">
        <f t="shared" si="17"/>
        <v>-62.342279327054179</v>
      </c>
    </row>
    <row r="125" spans="6:14" x14ac:dyDescent="0.3">
      <c r="F125" s="3">
        <f t="shared" si="18"/>
        <v>13</v>
      </c>
      <c r="G125" s="3">
        <v>44</v>
      </c>
      <c r="H125" s="3">
        <v>0</v>
      </c>
      <c r="I125" s="7">
        <f t="shared" si="16"/>
        <v>13.733333333333333</v>
      </c>
      <c r="J125" s="5">
        <f t="shared" si="15"/>
        <v>206</v>
      </c>
      <c r="K125" s="3"/>
      <c r="L125" s="3"/>
      <c r="M125" s="3"/>
      <c r="N125" s="11">
        <f t="shared" si="17"/>
        <v>-62.249967063531329</v>
      </c>
    </row>
    <row r="126" spans="6:14" x14ac:dyDescent="0.3">
      <c r="F126" s="3">
        <f t="shared" si="18"/>
        <v>13</v>
      </c>
      <c r="G126" s="3">
        <v>48</v>
      </c>
      <c r="H126" s="3">
        <v>0</v>
      </c>
      <c r="I126" s="7">
        <f t="shared" si="16"/>
        <v>13.8</v>
      </c>
      <c r="J126" s="5">
        <f t="shared" si="15"/>
        <v>207</v>
      </c>
      <c r="K126" s="3"/>
      <c r="L126" s="3"/>
      <c r="M126" s="3"/>
      <c r="N126" s="11">
        <f t="shared" si="17"/>
        <v>-62.14984816377401</v>
      </c>
    </row>
    <row r="127" spans="6:14" x14ac:dyDescent="0.3">
      <c r="F127" s="3">
        <f t="shared" si="18"/>
        <v>13</v>
      </c>
      <c r="G127" s="3">
        <v>52</v>
      </c>
      <c r="H127" s="3">
        <v>0</v>
      </c>
      <c r="I127" s="7">
        <f t="shared" si="16"/>
        <v>13.866666666666667</v>
      </c>
      <c r="J127" s="5">
        <f t="shared" si="15"/>
        <v>208</v>
      </c>
      <c r="K127" s="3"/>
      <c r="L127" s="3"/>
      <c r="M127" s="3"/>
      <c r="N127" s="11">
        <f t="shared" si="17"/>
        <v>-62.041803922025728</v>
      </c>
    </row>
    <row r="128" spans="6:14" x14ac:dyDescent="0.3">
      <c r="F128" s="3">
        <f t="shared" si="18"/>
        <v>13</v>
      </c>
      <c r="G128" s="3">
        <v>56</v>
      </c>
      <c r="H128" s="3">
        <v>0</v>
      </c>
      <c r="I128" s="7">
        <f t="shared" si="16"/>
        <v>13.933333333333334</v>
      </c>
      <c r="J128" s="5">
        <f t="shared" si="15"/>
        <v>209</v>
      </c>
      <c r="K128" s="3"/>
      <c r="L128" s="3"/>
      <c r="M128" s="3"/>
      <c r="N128" s="11">
        <f t="shared" si="17"/>
        <v>-61.925705541181777</v>
      </c>
    </row>
    <row r="129" spans="6:14" x14ac:dyDescent="0.3">
      <c r="F129" s="3">
        <f t="shared" si="18"/>
        <v>14</v>
      </c>
      <c r="G129" s="3">
        <v>0</v>
      </c>
      <c r="H129" s="3">
        <v>0</v>
      </c>
      <c r="I129" s="7">
        <f t="shared" si="16"/>
        <v>14</v>
      </c>
      <c r="J129" s="5">
        <f t="shared" si="15"/>
        <v>210</v>
      </c>
      <c r="K129" s="3"/>
      <c r="L129" s="3"/>
      <c r="M129" s="3"/>
      <c r="N129" s="11">
        <f t="shared" si="17"/>
        <v>-61.801413824033617</v>
      </c>
    </row>
    <row r="130" spans="6:14" x14ac:dyDescent="0.3">
      <c r="F130" s="3">
        <f t="shared" si="18"/>
        <v>14</v>
      </c>
      <c r="G130" s="3">
        <v>4</v>
      </c>
      <c r="H130" s="3">
        <v>0</v>
      </c>
      <c r="I130" s="7">
        <f t="shared" si="16"/>
        <v>14.066666666666666</v>
      </c>
      <c r="J130" s="5">
        <f t="shared" si="15"/>
        <v>211</v>
      </c>
      <c r="K130" s="3"/>
      <c r="L130" s="3"/>
      <c r="M130" s="3"/>
      <c r="N130" s="11">
        <f t="shared" si="17"/>
        <v>-61.668778838602158</v>
      </c>
    </row>
    <row r="131" spans="6:14" x14ac:dyDescent="0.3">
      <c r="F131" s="3">
        <f t="shared" si="18"/>
        <v>14</v>
      </c>
      <c r="G131" s="3">
        <v>8</v>
      </c>
      <c r="H131" s="3">
        <v>0</v>
      </c>
      <c r="I131" s="7">
        <f t="shared" si="16"/>
        <v>14.133333333333333</v>
      </c>
      <c r="J131" s="5">
        <f t="shared" si="15"/>
        <v>212</v>
      </c>
      <c r="K131" s="3"/>
      <c r="L131" s="3"/>
      <c r="M131" s="3"/>
      <c r="N131" s="11">
        <f t="shared" si="17"/>
        <v>-61.527639556610431</v>
      </c>
    </row>
    <row r="132" spans="6:14" x14ac:dyDescent="0.3">
      <c r="F132" s="3">
        <f t="shared" si="18"/>
        <v>14</v>
      </c>
      <c r="G132" s="3">
        <v>12</v>
      </c>
      <c r="H132" s="3">
        <v>0</v>
      </c>
      <c r="I132" s="7">
        <f t="shared" si="16"/>
        <v>14.2</v>
      </c>
      <c r="J132" s="5">
        <f t="shared" si="15"/>
        <v>213</v>
      </c>
      <c r="K132" s="3"/>
      <c r="L132" s="3"/>
      <c r="M132" s="3"/>
      <c r="N132" s="11">
        <f t="shared" si="17"/>
        <v>-61.377823464092259</v>
      </c>
    </row>
    <row r="133" spans="6:14" x14ac:dyDescent="0.3">
      <c r="F133" s="3">
        <f t="shared" si="18"/>
        <v>14</v>
      </c>
      <c r="G133" s="3">
        <v>16</v>
      </c>
      <c r="H133" s="3">
        <v>0</v>
      </c>
      <c r="I133" s="7">
        <f t="shared" si="16"/>
        <v>14.266666666666667</v>
      </c>
      <c r="J133" s="5">
        <f t="shared" si="15"/>
        <v>214</v>
      </c>
      <c r="K133" s="3"/>
      <c r="L133" s="3"/>
      <c r="M133" s="3"/>
      <c r="N133" s="11">
        <f t="shared" si="17"/>
        <v>-61.21914614308438</v>
      </c>
    </row>
    <row r="134" spans="6:14" x14ac:dyDescent="0.3">
      <c r="F134" s="3">
        <f t="shared" si="18"/>
        <v>14</v>
      </c>
      <c r="G134" s="3">
        <v>20</v>
      </c>
      <c r="H134" s="3">
        <v>0</v>
      </c>
      <c r="I134" s="7">
        <f t="shared" si="16"/>
        <v>14.333333333333334</v>
      </c>
      <c r="J134" s="5">
        <f t="shared" si="15"/>
        <v>215</v>
      </c>
      <c r="K134" s="3"/>
      <c r="L134" s="3"/>
      <c r="M134" s="3"/>
      <c r="N134" s="11">
        <f t="shared" si="17"/>
        <v>-61.051410823305275</v>
      </c>
    </row>
    <row r="135" spans="6:14" x14ac:dyDescent="0.3">
      <c r="F135" s="3">
        <f t="shared" si="18"/>
        <v>14</v>
      </c>
      <c r="G135" s="3">
        <v>24</v>
      </c>
      <c r="H135" s="3">
        <v>0</v>
      </c>
      <c r="I135" s="7">
        <f t="shared" si="16"/>
        <v>14.4</v>
      </c>
      <c r="J135" s="5">
        <f t="shared" si="15"/>
        <v>216</v>
      </c>
      <c r="K135" s="3"/>
      <c r="L135" s="3"/>
      <c r="M135" s="3"/>
      <c r="N135" s="11">
        <f t="shared" si="17"/>
        <v>-60.874407902686215</v>
      </c>
    </row>
    <row r="136" spans="6:14" x14ac:dyDescent="0.3">
      <c r="F136" s="3">
        <f t="shared" si="18"/>
        <v>14</v>
      </c>
      <c r="G136" s="3">
        <v>28</v>
      </c>
      <c r="H136" s="3">
        <v>0</v>
      </c>
      <c r="I136" s="7">
        <f t="shared" si="16"/>
        <v>14.466666666666667</v>
      </c>
      <c r="J136" s="5">
        <f t="shared" si="15"/>
        <v>217</v>
      </c>
      <c r="K136" s="3"/>
      <c r="L136" s="3"/>
      <c r="M136" s="3"/>
      <c r="N136" s="11">
        <f t="shared" si="17"/>
        <v>-60.687914435591935</v>
      </c>
    </row>
    <row r="137" spans="6:14" x14ac:dyDescent="0.3">
      <c r="F137" s="3">
        <f t="shared" si="18"/>
        <v>14</v>
      </c>
      <c r="G137" s="3">
        <v>32</v>
      </c>
      <c r="H137" s="3">
        <v>0</v>
      </c>
      <c r="I137" s="7">
        <f t="shared" si="16"/>
        <v>14.533333333333333</v>
      </c>
      <c r="J137" s="5">
        <f t="shared" ref="J137:J200" si="19">((((H137/60)+G137)/60)+F137)*15</f>
        <v>218</v>
      </c>
      <c r="K137" s="3"/>
      <c r="L137" s="3"/>
      <c r="M137" s="3"/>
      <c r="N137" s="11">
        <f t="shared" si="17"/>
        <v>-60.491693587550408</v>
      </c>
    </row>
    <row r="138" spans="6:14" x14ac:dyDescent="0.3">
      <c r="F138" s="3">
        <f t="shared" si="18"/>
        <v>14</v>
      </c>
      <c r="G138" s="3">
        <v>36</v>
      </c>
      <c r="H138" s="3">
        <v>0</v>
      </c>
      <c r="I138" s="7">
        <f t="shared" si="16"/>
        <v>14.6</v>
      </c>
      <c r="J138" s="5">
        <f t="shared" si="19"/>
        <v>219</v>
      </c>
      <c r="K138" s="3"/>
      <c r="L138" s="3"/>
      <c r="M138" s="3"/>
      <c r="N138" s="11">
        <f t="shared" si="17"/>
        <v>-60.285494055307019</v>
      </c>
    </row>
    <row r="139" spans="6:14" x14ac:dyDescent="0.3">
      <c r="F139" s="3">
        <f t="shared" si="18"/>
        <v>14</v>
      </c>
      <c r="G139" s="3">
        <v>40</v>
      </c>
      <c r="H139" s="3">
        <v>0</v>
      </c>
      <c r="I139" s="7">
        <f t="shared" si="16"/>
        <v>14.666666666666666</v>
      </c>
      <c r="J139" s="5">
        <f t="shared" si="19"/>
        <v>220</v>
      </c>
      <c r="K139" s="3"/>
      <c r="L139" s="3"/>
      <c r="M139" s="3"/>
      <c r="N139" s="11">
        <f t="shared" si="17"/>
        <v>-60.069049451031795</v>
      </c>
    </row>
    <row r="140" spans="6:14" x14ac:dyDescent="0.3">
      <c r="F140" s="3">
        <f t="shared" si="18"/>
        <v>14</v>
      </c>
      <c r="G140" s="3">
        <v>44</v>
      </c>
      <c r="H140" s="3">
        <v>0</v>
      </c>
      <c r="I140" s="7">
        <f t="shared" si="16"/>
        <v>14.733333333333333</v>
      </c>
      <c r="J140" s="5">
        <f t="shared" si="19"/>
        <v>221</v>
      </c>
      <c r="K140" s="3"/>
      <c r="L140" s="3"/>
      <c r="M140" s="3"/>
      <c r="N140" s="11">
        <f t="shared" si="17"/>
        <v>-59.84207764954153</v>
      </c>
    </row>
    <row r="141" spans="6:14" x14ac:dyDescent="0.3">
      <c r="F141" s="3">
        <f t="shared" si="18"/>
        <v>14</v>
      </c>
      <c r="G141" s="3">
        <v>48</v>
      </c>
      <c r="H141" s="3">
        <v>0</v>
      </c>
      <c r="I141" s="7">
        <f t="shared" si="16"/>
        <v>14.8</v>
      </c>
      <c r="J141" s="5">
        <f t="shared" si="19"/>
        <v>222</v>
      </c>
      <c r="K141" s="3"/>
      <c r="L141" s="3"/>
      <c r="M141" s="3"/>
      <c r="N141" s="11">
        <f t="shared" si="17"/>
        <v>-59.604280097458272</v>
      </c>
    </row>
    <row r="142" spans="6:14" x14ac:dyDescent="0.3">
      <c r="F142" s="3">
        <f t="shared" si="18"/>
        <v>14</v>
      </c>
      <c r="G142" s="3">
        <v>52</v>
      </c>
      <c r="H142" s="3">
        <v>0</v>
      </c>
      <c r="I142" s="7">
        <f t="shared" si="16"/>
        <v>14.866666666666667</v>
      </c>
      <c r="J142" s="5">
        <f t="shared" si="19"/>
        <v>223</v>
      </c>
      <c r="K142" s="3"/>
      <c r="L142" s="3"/>
      <c r="M142" s="3"/>
      <c r="N142" s="11">
        <f t="shared" si="17"/>
        <v>-59.355341083315253</v>
      </c>
    </row>
    <row r="143" spans="6:14" x14ac:dyDescent="0.3">
      <c r="F143" s="3">
        <f t="shared" si="18"/>
        <v>14</v>
      </c>
      <c r="G143" s="3">
        <v>56</v>
      </c>
      <c r="H143" s="3">
        <v>0</v>
      </c>
      <c r="I143" s="7">
        <f t="shared" si="16"/>
        <v>14.933333333333334</v>
      </c>
      <c r="J143" s="5">
        <f t="shared" si="19"/>
        <v>224</v>
      </c>
      <c r="K143" s="3"/>
      <c r="L143" s="3"/>
      <c r="M143" s="3"/>
      <c r="N143" s="11">
        <f t="shared" si="17"/>
        <v>-59.094926967748776</v>
      </c>
    </row>
    <row r="144" spans="6:14" x14ac:dyDescent="0.3">
      <c r="F144" s="3">
        <f t="shared" si="18"/>
        <v>15</v>
      </c>
      <c r="G144" s="3">
        <v>0</v>
      </c>
      <c r="H144" s="3">
        <v>0</v>
      </c>
      <c r="I144" s="7">
        <f t="shared" si="16"/>
        <v>15</v>
      </c>
      <c r="J144" s="5">
        <f t="shared" si="19"/>
        <v>225</v>
      </c>
      <c r="K144" s="3"/>
      <c r="L144" s="3"/>
      <c r="M144" s="3"/>
      <c r="N144" s="11">
        <f t="shared" si="17"/>
        <v>-58.822685373087253</v>
      </c>
    </row>
    <row r="145" spans="6:14" x14ac:dyDescent="0.3">
      <c r="F145" s="3">
        <f t="shared" si="18"/>
        <v>15</v>
      </c>
      <c r="G145" s="3">
        <v>4</v>
      </c>
      <c r="H145" s="3">
        <v>0</v>
      </c>
      <c r="I145" s="7">
        <f t="shared" si="16"/>
        <v>15.066666666666666</v>
      </c>
      <c r="J145" s="5">
        <f t="shared" si="19"/>
        <v>226</v>
      </c>
      <c r="K145" s="3"/>
      <c r="L145" s="3"/>
      <c r="M145" s="3"/>
      <c r="N145" s="11">
        <f t="shared" si="17"/>
        <v>-58.538244331874417</v>
      </c>
    </row>
    <row r="146" spans="6:14" x14ac:dyDescent="0.3">
      <c r="F146" s="3">
        <f t="shared" si="18"/>
        <v>15</v>
      </c>
      <c r="G146" s="3">
        <v>8</v>
      </c>
      <c r="H146" s="3">
        <v>0</v>
      </c>
      <c r="I146" s="7">
        <f t="shared" si="16"/>
        <v>15.133333333333333</v>
      </c>
      <c r="J146" s="5">
        <f t="shared" si="19"/>
        <v>227</v>
      </c>
      <c r="K146" s="3"/>
      <c r="L146" s="3"/>
      <c r="M146" s="3"/>
      <c r="N146" s="11">
        <f t="shared" si="17"/>
        <v>-58.24121139415513</v>
      </c>
    </row>
    <row r="147" spans="6:14" x14ac:dyDescent="0.3">
      <c r="F147" s="3">
        <f t="shared" si="18"/>
        <v>15</v>
      </c>
      <c r="G147" s="3">
        <v>12</v>
      </c>
      <c r="H147" s="3">
        <v>0</v>
      </c>
      <c r="I147" s="7">
        <f t="shared" si="16"/>
        <v>15.2</v>
      </c>
      <c r="J147" s="5">
        <f t="shared" si="19"/>
        <v>228</v>
      </c>
      <c r="K147" s="3"/>
      <c r="L147" s="3"/>
      <c r="M147" s="3"/>
      <c r="N147" s="11">
        <f t="shared" si="17"/>
        <v>-57.931172693719994</v>
      </c>
    </row>
    <row r="148" spans="6:14" x14ac:dyDescent="0.3">
      <c r="F148" s="3">
        <f t="shared" si="18"/>
        <v>15</v>
      </c>
      <c r="G148" s="3">
        <v>16</v>
      </c>
      <c r="H148" s="3">
        <v>0</v>
      </c>
      <c r="I148" s="7">
        <f t="shared" si="16"/>
        <v>15.266666666666667</v>
      </c>
      <c r="J148" s="5">
        <f t="shared" si="19"/>
        <v>229</v>
      </c>
      <c r="K148" s="3"/>
      <c r="L148" s="3"/>
      <c r="M148" s="3"/>
      <c r="N148" s="11">
        <f t="shared" si="17"/>
        <v>-57.607691973964549</v>
      </c>
    </row>
    <row r="149" spans="6:14" x14ac:dyDescent="0.3">
      <c r="F149" s="3">
        <f t="shared" si="18"/>
        <v>15</v>
      </c>
      <c r="G149" s="3">
        <v>20</v>
      </c>
      <c r="H149" s="3">
        <v>0</v>
      </c>
      <c r="I149" s="7">
        <f t="shared" si="16"/>
        <v>15.333333333333334</v>
      </c>
      <c r="J149" s="5">
        <f t="shared" si="19"/>
        <v>230</v>
      </c>
      <c r="K149" s="3"/>
      <c r="L149" s="3"/>
      <c r="M149" s="3"/>
      <c r="N149" s="11">
        <f t="shared" si="17"/>
        <v>-57.270309574586499</v>
      </c>
    </row>
    <row r="150" spans="6:14" x14ac:dyDescent="0.3">
      <c r="F150" s="3">
        <f t="shared" si="18"/>
        <v>15</v>
      </c>
      <c r="G150" s="3">
        <v>24</v>
      </c>
      <c r="H150" s="3">
        <v>0</v>
      </c>
      <c r="I150" s="7">
        <f t="shared" si="16"/>
        <v>15.4</v>
      </c>
      <c r="J150" s="5">
        <f t="shared" si="19"/>
        <v>231</v>
      </c>
      <c r="K150" s="3"/>
      <c r="L150" s="3"/>
      <c r="M150" s="3"/>
      <c r="N150" s="11">
        <f t="shared" si="17"/>
        <v>-56.918541381040342</v>
      </c>
    </row>
    <row r="151" spans="6:14" x14ac:dyDescent="0.3">
      <c r="F151" s="3">
        <f t="shared" si="18"/>
        <v>15</v>
      </c>
      <c r="G151" s="3">
        <v>28</v>
      </c>
      <c r="H151" s="3">
        <v>0</v>
      </c>
      <c r="I151" s="7">
        <f t="shared" si="16"/>
        <v>15.466666666666667</v>
      </c>
      <c r="J151" s="5">
        <f t="shared" si="19"/>
        <v>232</v>
      </c>
      <c r="K151" s="3"/>
      <c r="L151" s="3"/>
      <c r="M151" s="3"/>
      <c r="N151" s="11">
        <f t="shared" si="17"/>
        <v>-56.551877739515447</v>
      </c>
    </row>
    <row r="152" spans="6:14" x14ac:dyDescent="0.3">
      <c r="F152" s="3">
        <f t="shared" si="18"/>
        <v>15</v>
      </c>
      <c r="G152" s="3">
        <v>32</v>
      </c>
      <c r="H152" s="3">
        <v>0</v>
      </c>
      <c r="I152" s="7">
        <f t="shared" si="16"/>
        <v>15.533333333333333</v>
      </c>
      <c r="J152" s="5">
        <f t="shared" si="19"/>
        <v>233</v>
      </c>
      <c r="K152" s="3"/>
      <c r="L152" s="3"/>
      <c r="M152" s="3"/>
      <c r="N152" s="11">
        <f t="shared" si="17"/>
        <v>-56.169782341226892</v>
      </c>
    </row>
    <row r="153" spans="6:14" x14ac:dyDescent="0.3">
      <c r="F153" s="3">
        <f t="shared" si="18"/>
        <v>15</v>
      </c>
      <c r="G153" s="3">
        <v>36</v>
      </c>
      <c r="H153" s="3">
        <v>0</v>
      </c>
      <c r="I153" s="7">
        <f t="shared" ref="I153:I216" si="20">(((H153/60)+G153)/60)+F153</f>
        <v>15.6</v>
      </c>
      <c r="J153" s="5">
        <f t="shared" si="19"/>
        <v>234</v>
      </c>
      <c r="K153" s="3"/>
      <c r="L153" s="3"/>
      <c r="M153" s="3"/>
      <c r="N153" s="11">
        <f t="shared" ref="N153:N216" si="21">DEGREES(ATAN(-(COS(RADIANS($S$6))/SIN(RADIANS($S$6)))*COS(RADIANS(J153-$S$7))))</f>
        <v>-55.771691081039002</v>
      </c>
    </row>
    <row r="154" spans="6:14" x14ac:dyDescent="0.3">
      <c r="F154" s="3">
        <f t="shared" si="18"/>
        <v>15</v>
      </c>
      <c r="G154" s="3">
        <v>40</v>
      </c>
      <c r="H154" s="3">
        <v>0</v>
      </c>
      <c r="I154" s="7">
        <f t="shared" si="20"/>
        <v>15.666666666666666</v>
      </c>
      <c r="J154" s="5">
        <f t="shared" si="19"/>
        <v>235</v>
      </c>
      <c r="K154" s="3"/>
      <c r="L154" s="3"/>
      <c r="M154" s="3"/>
      <c r="N154" s="11">
        <f t="shared" si="21"/>
        <v>-55.357010896913678</v>
      </c>
    </row>
    <row r="155" spans="6:14" x14ac:dyDescent="0.3">
      <c r="F155" s="3">
        <f t="shared" si="18"/>
        <v>15</v>
      </c>
      <c r="G155" s="3">
        <v>44</v>
      </c>
      <c r="H155" s="3">
        <v>0</v>
      </c>
      <c r="I155" s="7">
        <f t="shared" si="20"/>
        <v>15.733333333333333</v>
      </c>
      <c r="J155" s="5">
        <f t="shared" si="19"/>
        <v>236</v>
      </c>
      <c r="K155" s="3"/>
      <c r="L155" s="3"/>
      <c r="M155" s="3"/>
      <c r="N155" s="11">
        <f t="shared" si="21"/>
        <v>-54.925118598427964</v>
      </c>
    </row>
    <row r="156" spans="6:14" x14ac:dyDescent="0.3">
      <c r="F156" s="3">
        <f t="shared" si="18"/>
        <v>15</v>
      </c>
      <c r="G156" s="3">
        <v>48</v>
      </c>
      <c r="H156" s="3">
        <v>0</v>
      </c>
      <c r="I156" s="7">
        <f t="shared" si="20"/>
        <v>15.8</v>
      </c>
      <c r="J156" s="5">
        <f t="shared" si="19"/>
        <v>237</v>
      </c>
      <c r="K156" s="3"/>
      <c r="L156" s="3"/>
      <c r="M156" s="3"/>
      <c r="N156" s="11">
        <f t="shared" si="21"/>
        <v>-54.475359694682979</v>
      </c>
    </row>
    <row r="157" spans="6:14" x14ac:dyDescent="0.3">
      <c r="F157" s="3">
        <f t="shared" si="18"/>
        <v>15</v>
      </c>
      <c r="G157" s="3">
        <v>52</v>
      </c>
      <c r="H157" s="3">
        <v>0</v>
      </c>
      <c r="I157" s="7">
        <f t="shared" si="20"/>
        <v>15.866666666666667</v>
      </c>
      <c r="J157" s="5">
        <f t="shared" si="19"/>
        <v>238</v>
      </c>
      <c r="K157" s="3"/>
      <c r="L157" s="3"/>
      <c r="M157" s="3"/>
      <c r="N157" s="11">
        <f t="shared" si="21"/>
        <v>-54.007047234378312</v>
      </c>
    </row>
    <row r="158" spans="6:14" x14ac:dyDescent="0.3">
      <c r="F158" s="3">
        <f t="shared" si="18"/>
        <v>15</v>
      </c>
      <c r="G158" s="3">
        <v>56</v>
      </c>
      <c r="H158" s="3">
        <v>0</v>
      </c>
      <c r="I158" s="7">
        <f t="shared" si="20"/>
        <v>15.933333333333334</v>
      </c>
      <c r="J158" s="5">
        <f t="shared" si="19"/>
        <v>239</v>
      </c>
      <c r="K158" s="3"/>
      <c r="L158" s="3"/>
      <c r="M158" s="3"/>
      <c r="N158" s="11">
        <f t="shared" si="21"/>
        <v>-53.519460673707556</v>
      </c>
    </row>
    <row r="159" spans="6:14" x14ac:dyDescent="0.3">
      <c r="F159" s="3">
        <f t="shared" si="18"/>
        <v>16</v>
      </c>
      <c r="G159" s="3">
        <v>0</v>
      </c>
      <c r="H159" s="3">
        <v>0</v>
      </c>
      <c r="I159" s="7">
        <f t="shared" si="20"/>
        <v>16</v>
      </c>
      <c r="J159" s="5">
        <f t="shared" si="19"/>
        <v>240</v>
      </c>
      <c r="K159" s="3"/>
      <c r="L159" s="3"/>
      <c r="M159" s="3"/>
      <c r="N159" s="11">
        <f t="shared" si="21"/>
        <v>-53.011844791102561</v>
      </c>
    </row>
    <row r="160" spans="6:14" x14ac:dyDescent="0.3">
      <c r="F160" s="3">
        <f t="shared" si="18"/>
        <v>16</v>
      </c>
      <c r="G160" s="3">
        <v>4</v>
      </c>
      <c r="H160" s="3">
        <v>0</v>
      </c>
      <c r="I160" s="7">
        <f t="shared" si="20"/>
        <v>16.066666666666666</v>
      </c>
      <c r="J160" s="5">
        <f t="shared" si="19"/>
        <v>241</v>
      </c>
      <c r="K160" s="3"/>
      <c r="L160" s="3"/>
      <c r="M160" s="3"/>
      <c r="N160" s="11">
        <f t="shared" si="21"/>
        <v>-52.483408671782058</v>
      </c>
    </row>
    <row r="161" spans="6:14" x14ac:dyDescent="0.3">
      <c r="F161" s="3">
        <f t="shared" si="18"/>
        <v>16</v>
      </c>
      <c r="G161" s="3">
        <v>8</v>
      </c>
      <c r="H161" s="3">
        <v>0</v>
      </c>
      <c r="I161" s="7">
        <f t="shared" si="20"/>
        <v>16.133333333333333</v>
      </c>
      <c r="J161" s="5">
        <f t="shared" si="19"/>
        <v>242</v>
      </c>
      <c r="K161" s="3"/>
      <c r="L161" s="3"/>
      <c r="M161" s="3"/>
      <c r="N161" s="11">
        <f t="shared" si="21"/>
        <v>-51.933324789614467</v>
      </c>
    </row>
    <row r="162" spans="6:14" x14ac:dyDescent="0.3">
      <c r="F162" s="3">
        <f t="shared" si="18"/>
        <v>16</v>
      </c>
      <c r="G162" s="3">
        <v>12</v>
      </c>
      <c r="H162" s="3">
        <v>0</v>
      </c>
      <c r="I162" s="7">
        <f t="shared" si="20"/>
        <v>16.2</v>
      </c>
      <c r="J162" s="5">
        <f t="shared" si="19"/>
        <v>243</v>
      </c>
      <c r="K162" s="3"/>
      <c r="L162" s="3"/>
      <c r="M162" s="3"/>
      <c r="N162" s="11">
        <f t="shared" si="21"/>
        <v>-51.36072821905838</v>
      </c>
    </row>
    <row r="163" spans="6:14" x14ac:dyDescent="0.3">
      <c r="F163" s="3">
        <f t="shared" si="18"/>
        <v>16</v>
      </c>
      <c r="G163" s="3">
        <v>16</v>
      </c>
      <c r="H163" s="3">
        <v>0</v>
      </c>
      <c r="I163" s="7">
        <f t="shared" si="20"/>
        <v>16.266666666666666</v>
      </c>
      <c r="J163" s="5">
        <f t="shared" si="19"/>
        <v>244</v>
      </c>
      <c r="K163" s="3"/>
      <c r="L163" s="3"/>
      <c r="M163" s="3"/>
      <c r="N163" s="11">
        <f t="shared" si="21"/>
        <v>-50.764716015971324</v>
      </c>
    </row>
    <row r="164" spans="6:14" x14ac:dyDescent="0.3">
      <c r="F164" s="3">
        <f t="shared" si="18"/>
        <v>16</v>
      </c>
      <c r="G164" s="3">
        <v>20</v>
      </c>
      <c r="H164" s="3">
        <v>0</v>
      </c>
      <c r="I164" s="7">
        <f t="shared" si="20"/>
        <v>16.333333333333332</v>
      </c>
      <c r="J164" s="5">
        <f t="shared" si="19"/>
        <v>244.99999999999997</v>
      </c>
      <c r="K164" s="3"/>
      <c r="L164" s="3"/>
      <c r="M164" s="3"/>
      <c r="N164" s="11">
        <f t="shared" si="21"/>
        <v>-50.144346812949706</v>
      </c>
    </row>
    <row r="165" spans="6:14" x14ac:dyDescent="0.3">
      <c r="F165" s="3">
        <f t="shared" si="18"/>
        <v>16</v>
      </c>
      <c r="G165" s="3">
        <v>24</v>
      </c>
      <c r="H165" s="3">
        <v>0</v>
      </c>
      <c r="I165" s="7">
        <f t="shared" si="20"/>
        <v>16.399999999999999</v>
      </c>
      <c r="J165" s="5">
        <f t="shared" si="19"/>
        <v>245.99999999999997</v>
      </c>
      <c r="K165" s="3"/>
      <c r="L165" s="3"/>
      <c r="M165" s="3"/>
      <c r="N165" s="11">
        <f t="shared" si="21"/>
        <v>-49.498640682644194</v>
      </c>
    </row>
    <row r="166" spans="6:14" x14ac:dyDescent="0.3">
      <c r="F166" s="3">
        <f t="shared" si="18"/>
        <v>16</v>
      </c>
      <c r="G166" s="3">
        <v>28</v>
      </c>
      <c r="H166" s="3">
        <v>0</v>
      </c>
      <c r="I166" s="7">
        <f t="shared" si="20"/>
        <v>16.466666666666665</v>
      </c>
      <c r="J166" s="5">
        <f t="shared" si="19"/>
        <v>246.99999999999997</v>
      </c>
      <c r="K166" s="3"/>
      <c r="L166" s="3"/>
      <c r="M166" s="3"/>
      <c r="N166" s="11">
        <f t="shared" si="21"/>
        <v>-48.826579331238101</v>
      </c>
    </row>
    <row r="167" spans="6:14" x14ac:dyDescent="0.3">
      <c r="F167" s="3">
        <f t="shared" si="18"/>
        <v>16</v>
      </c>
      <c r="G167" s="3">
        <v>32</v>
      </c>
      <c r="H167" s="3">
        <v>0</v>
      </c>
      <c r="I167" s="7">
        <f t="shared" si="20"/>
        <v>16.533333333333335</v>
      </c>
      <c r="J167" s="5">
        <f t="shared" si="19"/>
        <v>248.00000000000003</v>
      </c>
      <c r="K167" s="3"/>
      <c r="L167" s="3"/>
      <c r="M167" s="3"/>
      <c r="N167" s="11">
        <f t="shared" si="21"/>
        <v>-48.12710669400807</v>
      </c>
    </row>
    <row r="168" spans="6:14" x14ac:dyDescent="0.3">
      <c r="F168" s="3">
        <f t="shared" si="18"/>
        <v>16</v>
      </c>
      <c r="G168" s="3">
        <v>36</v>
      </c>
      <c r="H168" s="3">
        <v>0</v>
      </c>
      <c r="I168" s="7">
        <f t="shared" si="20"/>
        <v>16.600000000000001</v>
      </c>
      <c r="J168" s="5">
        <f t="shared" si="19"/>
        <v>249.00000000000003</v>
      </c>
      <c r="K168" s="3"/>
      <c r="L168" s="3"/>
      <c r="M168" s="3"/>
      <c r="N168" s="11">
        <f t="shared" si="21"/>
        <v>-47.399130015605188</v>
      </c>
    </row>
    <row r="169" spans="6:14" x14ac:dyDescent="0.3">
      <c r="F169" s="3">
        <f t="shared" si="18"/>
        <v>16</v>
      </c>
      <c r="G169" s="3">
        <v>40</v>
      </c>
      <c r="H169" s="3">
        <v>0</v>
      </c>
      <c r="I169" s="7">
        <f t="shared" si="20"/>
        <v>16.666666666666668</v>
      </c>
      <c r="J169" s="5">
        <f t="shared" si="19"/>
        <v>250.00000000000003</v>
      </c>
      <c r="K169" s="3"/>
      <c r="L169" s="3"/>
      <c r="M169" s="3"/>
      <c r="N169" s="11">
        <f t="shared" si="21"/>
        <v>-46.641521509343931</v>
      </c>
    </row>
    <row r="170" spans="6:14" x14ac:dyDescent="0.3">
      <c r="F170" s="3">
        <f t="shared" si="18"/>
        <v>16</v>
      </c>
      <c r="G170" s="3">
        <v>44</v>
      </c>
      <c r="H170" s="3">
        <v>0</v>
      </c>
      <c r="I170" s="7">
        <f t="shared" si="20"/>
        <v>16.733333333333334</v>
      </c>
      <c r="J170" s="5">
        <f t="shared" si="19"/>
        <v>251</v>
      </c>
      <c r="K170" s="3"/>
      <c r="L170" s="3"/>
      <c r="M170" s="3"/>
      <c r="N170" s="11">
        <f t="shared" si="21"/>
        <v>-45.853120702251999</v>
      </c>
    </row>
    <row r="171" spans="6:14" x14ac:dyDescent="0.3">
      <c r="F171" s="3">
        <f t="shared" si="18"/>
        <v>16</v>
      </c>
      <c r="G171" s="3">
        <v>48</v>
      </c>
      <c r="H171" s="3">
        <v>0</v>
      </c>
      <c r="I171" s="7">
        <f t="shared" si="20"/>
        <v>16.8</v>
      </c>
      <c r="J171" s="5">
        <f t="shared" si="19"/>
        <v>252</v>
      </c>
      <c r="K171" s="3"/>
      <c r="L171" s="3"/>
      <c r="M171" s="3"/>
      <c r="N171" s="11">
        <f t="shared" si="21"/>
        <v>-45.032737585699316</v>
      </c>
    </row>
    <row r="172" spans="6:14" x14ac:dyDescent="0.3">
      <c r="F172" s="3">
        <f t="shared" si="18"/>
        <v>16</v>
      </c>
      <c r="G172" s="3">
        <v>52</v>
      </c>
      <c r="H172" s="3">
        <v>0</v>
      </c>
      <c r="I172" s="7">
        <f t="shared" si="20"/>
        <v>16.866666666666667</v>
      </c>
      <c r="J172" s="5">
        <f t="shared" si="19"/>
        <v>253</v>
      </c>
      <c r="K172" s="3"/>
      <c r="L172" s="3"/>
      <c r="M172" s="3"/>
      <c r="N172" s="11">
        <f t="shared" si="21"/>
        <v>-44.179156704768687</v>
      </c>
    </row>
    <row r="173" spans="6:14" x14ac:dyDescent="0.3">
      <c r="F173" s="3">
        <f t="shared" si="18"/>
        <v>16</v>
      </c>
      <c r="G173" s="3">
        <v>56</v>
      </c>
      <c r="H173" s="3">
        <v>0</v>
      </c>
      <c r="I173" s="7">
        <f t="shared" si="20"/>
        <v>16.933333333333334</v>
      </c>
      <c r="J173" s="5">
        <f t="shared" si="19"/>
        <v>254</v>
      </c>
      <c r="K173" s="3"/>
      <c r="L173" s="3"/>
      <c r="M173" s="3"/>
      <c r="N173" s="11">
        <f t="shared" si="21"/>
        <v>-43.291142332669885</v>
      </c>
    </row>
    <row r="174" spans="6:14" x14ac:dyDescent="0.3">
      <c r="F174" s="3">
        <f t="shared" si="18"/>
        <v>17</v>
      </c>
      <c r="G174" s="3">
        <v>0</v>
      </c>
      <c r="H174" s="3">
        <v>0</v>
      </c>
      <c r="I174" s="7">
        <f t="shared" si="20"/>
        <v>17</v>
      </c>
      <c r="J174" s="5">
        <f t="shared" si="19"/>
        <v>255</v>
      </c>
      <c r="K174" s="3"/>
      <c r="L174" s="3"/>
      <c r="M174" s="3"/>
      <c r="N174" s="11">
        <f t="shared" si="21"/>
        <v>-42.367444888770343</v>
      </c>
    </row>
    <row r="175" spans="6:14" x14ac:dyDescent="0.3">
      <c r="F175" s="3">
        <f t="shared" si="18"/>
        <v>17</v>
      </c>
      <c r="G175" s="3">
        <v>4</v>
      </c>
      <c r="H175" s="3">
        <v>0</v>
      </c>
      <c r="I175" s="7">
        <f t="shared" si="20"/>
        <v>17.066666666666666</v>
      </c>
      <c r="J175" s="5">
        <f t="shared" si="19"/>
        <v>256</v>
      </c>
      <c r="K175" s="3"/>
      <c r="L175" s="3"/>
      <c r="M175" s="3"/>
      <c r="N175" s="11">
        <f t="shared" si="21"/>
        <v>-41.40680876932224</v>
      </c>
    </row>
    <row r="176" spans="6:14" x14ac:dyDescent="0.3">
      <c r="F176" s="3">
        <f t="shared" si="18"/>
        <v>17</v>
      </c>
      <c r="G176" s="3">
        <v>8</v>
      </c>
      <c r="H176" s="3">
        <v>0</v>
      </c>
      <c r="I176" s="7">
        <f t="shared" si="20"/>
        <v>17.133333333333333</v>
      </c>
      <c r="J176" s="5">
        <f t="shared" si="19"/>
        <v>257</v>
      </c>
      <c r="K176" s="3"/>
      <c r="L176" s="3"/>
      <c r="M176" s="3"/>
      <c r="N176" s="11">
        <f t="shared" si="21"/>
        <v>-40.407981767542545</v>
      </c>
    </row>
    <row r="177" spans="6:14" x14ac:dyDescent="0.3">
      <c r="F177" s="3">
        <f t="shared" si="18"/>
        <v>17</v>
      </c>
      <c r="G177" s="3">
        <v>12</v>
      </c>
      <c r="H177" s="3">
        <v>0</v>
      </c>
      <c r="I177" s="7">
        <f t="shared" si="20"/>
        <v>17.2</v>
      </c>
      <c r="J177" s="5">
        <f t="shared" si="19"/>
        <v>258</v>
      </c>
      <c r="K177" s="3"/>
      <c r="L177" s="3"/>
      <c r="M177" s="3"/>
      <c r="N177" s="11">
        <f t="shared" si="21"/>
        <v>-39.369726262877514</v>
      </c>
    </row>
    <row r="178" spans="6:14" x14ac:dyDescent="0.3">
      <c r="F178" s="3">
        <f t="shared" si="18"/>
        <v>17</v>
      </c>
      <c r="G178" s="3">
        <v>16</v>
      </c>
      <c r="H178" s="3">
        <v>0</v>
      </c>
      <c r="I178" s="7">
        <f t="shared" si="20"/>
        <v>17.266666666666666</v>
      </c>
      <c r="J178" s="5">
        <f t="shared" si="19"/>
        <v>259</v>
      </c>
      <c r="K178" s="3"/>
      <c r="L178" s="3"/>
      <c r="M178" s="3"/>
      <c r="N178" s="11">
        <f t="shared" si="21"/>
        <v>-38.290832356243783</v>
      </c>
    </row>
    <row r="179" spans="6:14" x14ac:dyDescent="0.3">
      <c r="F179" s="3">
        <f t="shared" ref="F179:F242" si="22">1+F164</f>
        <v>17</v>
      </c>
      <c r="G179" s="3">
        <v>20</v>
      </c>
      <c r="H179" s="3">
        <v>0</v>
      </c>
      <c r="I179" s="7">
        <f t="shared" si="20"/>
        <v>17.333333333333332</v>
      </c>
      <c r="J179" s="5">
        <f t="shared" si="19"/>
        <v>260</v>
      </c>
      <c r="K179" s="3"/>
      <c r="L179" s="3"/>
      <c r="M179" s="3"/>
      <c r="N179" s="11">
        <f t="shared" si="21"/>
        <v>-37.170133116626893</v>
      </c>
    </row>
    <row r="180" spans="6:14" x14ac:dyDescent="0.3">
      <c r="F180" s="3">
        <f t="shared" si="22"/>
        <v>17</v>
      </c>
      <c r="G180" s="3">
        <v>24</v>
      </c>
      <c r="H180" s="3">
        <v>0</v>
      </c>
      <c r="I180" s="7">
        <f t="shared" si="20"/>
        <v>17.399999999999999</v>
      </c>
      <c r="J180" s="5">
        <f t="shared" si="19"/>
        <v>261</v>
      </c>
      <c r="K180" s="3"/>
      <c r="L180" s="3"/>
      <c r="M180" s="3"/>
      <c r="N180" s="11">
        <f t="shared" si="21"/>
        <v>-36.006522082145942</v>
      </c>
    </row>
    <row r="181" spans="6:14" x14ac:dyDescent="0.3">
      <c r="F181" s="3">
        <f t="shared" si="22"/>
        <v>17</v>
      </c>
      <c r="G181" s="3">
        <v>28</v>
      </c>
      <c r="H181" s="3">
        <v>0</v>
      </c>
      <c r="I181" s="7">
        <f t="shared" si="20"/>
        <v>17.466666666666665</v>
      </c>
      <c r="J181" s="5">
        <f t="shared" si="19"/>
        <v>262</v>
      </c>
      <c r="K181" s="3"/>
      <c r="L181" s="3"/>
      <c r="M181" s="3"/>
      <c r="N181" s="11">
        <f t="shared" si="21"/>
        <v>-34.79897312280373</v>
      </c>
    </row>
    <row r="182" spans="6:14" x14ac:dyDescent="0.3">
      <c r="F182" s="3">
        <f t="shared" si="22"/>
        <v>17</v>
      </c>
      <c r="G182" s="3">
        <v>32</v>
      </c>
      <c r="H182" s="3">
        <v>0</v>
      </c>
      <c r="I182" s="7">
        <f t="shared" si="20"/>
        <v>17.533333333333335</v>
      </c>
      <c r="J182" s="5">
        <f t="shared" si="19"/>
        <v>263</v>
      </c>
      <c r="K182" s="3"/>
      <c r="L182" s="3"/>
      <c r="M182" s="3"/>
      <c r="N182" s="11">
        <f t="shared" si="21"/>
        <v>-33.546562719740692</v>
      </c>
    </row>
    <row r="183" spans="6:14" x14ac:dyDescent="0.3">
      <c r="F183" s="3">
        <f t="shared" si="22"/>
        <v>17</v>
      </c>
      <c r="G183" s="3">
        <v>36</v>
      </c>
      <c r="H183" s="3">
        <v>0</v>
      </c>
      <c r="I183" s="7">
        <f t="shared" si="20"/>
        <v>17.600000000000001</v>
      </c>
      <c r="J183" s="5">
        <f t="shared" si="19"/>
        <v>264</v>
      </c>
      <c r="K183" s="3"/>
      <c r="L183" s="3"/>
      <c r="M183" s="3"/>
      <c r="N183" s="11">
        <f t="shared" si="21"/>
        <v>-32.248494644063591</v>
      </c>
    </row>
    <row r="184" spans="6:14" x14ac:dyDescent="0.3">
      <c r="F184" s="3">
        <f t="shared" si="22"/>
        <v>17</v>
      </c>
      <c r="G184" s="3">
        <v>40</v>
      </c>
      <c r="H184" s="3">
        <v>0</v>
      </c>
      <c r="I184" s="7">
        <f t="shared" si="20"/>
        <v>17.666666666666668</v>
      </c>
      <c r="J184" s="5">
        <f t="shared" si="19"/>
        <v>265</v>
      </c>
      <c r="K184" s="3"/>
      <c r="L184" s="3"/>
      <c r="M184" s="3"/>
      <c r="N184" s="11">
        <f t="shared" si="21"/>
        <v>-30.904126924767191</v>
      </c>
    </row>
    <row r="185" spans="6:14" x14ac:dyDescent="0.3">
      <c r="F185" s="3">
        <f t="shared" si="22"/>
        <v>17</v>
      </c>
      <c r="G185" s="3">
        <v>44</v>
      </c>
      <c r="H185" s="3">
        <v>0</v>
      </c>
      <c r="I185" s="7">
        <f t="shared" si="20"/>
        <v>17.733333333333334</v>
      </c>
      <c r="J185" s="5">
        <f t="shared" si="19"/>
        <v>266</v>
      </c>
      <c r="K185" s="3"/>
      <c r="L185" s="3"/>
      <c r="M185" s="3"/>
      <c r="N185" s="11">
        <f t="shared" si="21"/>
        <v>-29.513000878230191</v>
      </c>
    </row>
    <row r="186" spans="6:14" x14ac:dyDescent="0.3">
      <c r="F186" s="3">
        <f t="shared" si="22"/>
        <v>17</v>
      </c>
      <c r="G186" s="3">
        <v>48</v>
      </c>
      <c r="H186" s="3">
        <v>0</v>
      </c>
      <c r="I186" s="7">
        <f t="shared" si="20"/>
        <v>17.8</v>
      </c>
      <c r="J186" s="5">
        <f t="shared" si="19"/>
        <v>267</v>
      </c>
      <c r="K186" s="3"/>
      <c r="L186" s="3"/>
      <c r="M186" s="3"/>
      <c r="N186" s="11">
        <f t="shared" si="21"/>
        <v>-28.074871830885776</v>
      </c>
    </row>
    <row r="187" spans="6:14" x14ac:dyDescent="0.3">
      <c r="F187" s="3">
        <f t="shared" si="22"/>
        <v>17</v>
      </c>
      <c r="G187" s="3">
        <v>52</v>
      </c>
      <c r="H187" s="3">
        <v>0</v>
      </c>
      <c r="I187" s="7">
        <f t="shared" si="20"/>
        <v>17.866666666666667</v>
      </c>
      <c r="J187" s="5">
        <f t="shared" si="19"/>
        <v>268</v>
      </c>
      <c r="K187" s="3"/>
      <c r="L187" s="3"/>
      <c r="M187" s="3"/>
      <c r="N187" s="11">
        <f t="shared" si="21"/>
        <v>-26.589741003516657</v>
      </c>
    </row>
    <row r="188" spans="6:14" x14ac:dyDescent="0.3">
      <c r="F188" s="3">
        <f t="shared" si="22"/>
        <v>17</v>
      </c>
      <c r="G188" s="3">
        <v>56</v>
      </c>
      <c r="H188" s="3">
        <v>0</v>
      </c>
      <c r="I188" s="7">
        <f t="shared" si="20"/>
        <v>17.933333333333334</v>
      </c>
      <c r="J188" s="5">
        <f t="shared" si="19"/>
        <v>269</v>
      </c>
      <c r="K188" s="3"/>
      <c r="L188" s="3"/>
      <c r="M188" s="3"/>
      <c r="N188" s="11">
        <f t="shared" si="21"/>
        <v>-25.057887844386812</v>
      </c>
    </row>
    <row r="189" spans="6:14" x14ac:dyDescent="0.3">
      <c r="F189" s="3">
        <f t="shared" si="22"/>
        <v>18</v>
      </c>
      <c r="G189" s="3">
        <v>0</v>
      </c>
      <c r="H189" s="3">
        <v>0</v>
      </c>
      <c r="I189" s="7">
        <f t="shared" si="20"/>
        <v>18</v>
      </c>
      <c r="J189" s="5">
        <f t="shared" si="19"/>
        <v>270</v>
      </c>
      <c r="K189" s="3"/>
      <c r="L189" s="3"/>
      <c r="M189" s="3"/>
      <c r="N189" s="11">
        <f t="shared" si="21"/>
        <v>-23.479901906526063</v>
      </c>
    </row>
    <row r="190" spans="6:14" x14ac:dyDescent="0.3">
      <c r="F190" s="3">
        <f t="shared" si="22"/>
        <v>18</v>
      </c>
      <c r="G190" s="3">
        <v>4</v>
      </c>
      <c r="H190" s="3">
        <v>0</v>
      </c>
      <c r="I190" s="7">
        <f t="shared" si="20"/>
        <v>18.066666666666666</v>
      </c>
      <c r="J190" s="5">
        <f t="shared" si="19"/>
        <v>271</v>
      </c>
      <c r="K190" s="3"/>
      <c r="L190" s="3"/>
      <c r="M190" s="3"/>
      <c r="N190" s="11">
        <f t="shared" si="21"/>
        <v>-21.85671317308045</v>
      </c>
    </row>
    <row r="191" spans="6:14" x14ac:dyDescent="0.3">
      <c r="F191" s="3">
        <f t="shared" si="22"/>
        <v>18</v>
      </c>
      <c r="G191" s="3">
        <v>8</v>
      </c>
      <c r="H191" s="3">
        <v>0</v>
      </c>
      <c r="I191" s="7">
        <f t="shared" si="20"/>
        <v>18.133333333333333</v>
      </c>
      <c r="J191" s="5">
        <f t="shared" si="19"/>
        <v>272</v>
      </c>
      <c r="K191" s="3"/>
      <c r="L191" s="3"/>
      <c r="M191" s="3"/>
      <c r="N191" s="11">
        <f t="shared" si="21"/>
        <v>-20.189619558778325</v>
      </c>
    </row>
    <row r="192" spans="6:14" x14ac:dyDescent="0.3">
      <c r="F192" s="3">
        <f t="shared" si="22"/>
        <v>18</v>
      </c>
      <c r="G192" s="3">
        <v>12</v>
      </c>
      <c r="H192" s="3">
        <v>0</v>
      </c>
      <c r="I192" s="7">
        <f t="shared" si="20"/>
        <v>18.2</v>
      </c>
      <c r="J192" s="5">
        <f t="shared" si="19"/>
        <v>273</v>
      </c>
      <c r="K192" s="3"/>
      <c r="L192" s="3"/>
      <c r="M192" s="3"/>
      <c r="N192" s="11">
        <f t="shared" si="21"/>
        <v>-18.480310173844646</v>
      </c>
    </row>
    <row r="193" spans="6:14" x14ac:dyDescent="0.3">
      <c r="F193" s="3">
        <f t="shared" si="22"/>
        <v>18</v>
      </c>
      <c r="G193" s="3">
        <v>16</v>
      </c>
      <c r="H193" s="3">
        <v>0</v>
      </c>
      <c r="I193" s="7">
        <f t="shared" si="20"/>
        <v>18.266666666666666</v>
      </c>
      <c r="J193" s="5">
        <f t="shared" si="19"/>
        <v>274</v>
      </c>
      <c r="K193" s="3"/>
      <c r="L193" s="3"/>
      <c r="M193" s="3"/>
      <c r="N193" s="11">
        <f t="shared" si="21"/>
        <v>-16.73088285029522</v>
      </c>
    </row>
    <row r="194" spans="6:14" x14ac:dyDescent="0.3">
      <c r="F194" s="3">
        <f t="shared" si="22"/>
        <v>18</v>
      </c>
      <c r="G194" s="3">
        <v>20</v>
      </c>
      <c r="H194" s="3">
        <v>0</v>
      </c>
      <c r="I194" s="7">
        <f t="shared" si="20"/>
        <v>18.333333333333332</v>
      </c>
      <c r="J194" s="5">
        <f t="shared" si="19"/>
        <v>275</v>
      </c>
      <c r="K194" s="3"/>
      <c r="L194" s="3"/>
      <c r="M194" s="3"/>
      <c r="N194" s="11">
        <f t="shared" si="21"/>
        <v>-14.943854421404568</v>
      </c>
    </row>
    <row r="195" spans="6:14" x14ac:dyDescent="0.3">
      <c r="F195" s="3">
        <f t="shared" si="22"/>
        <v>18</v>
      </c>
      <c r="G195" s="3">
        <v>24</v>
      </c>
      <c r="H195" s="3">
        <v>0</v>
      </c>
      <c r="I195" s="7">
        <f t="shared" si="20"/>
        <v>18.399999999999999</v>
      </c>
      <c r="J195" s="5">
        <f t="shared" si="19"/>
        <v>276</v>
      </c>
      <c r="K195" s="3"/>
      <c r="L195" s="3"/>
      <c r="M195" s="3"/>
      <c r="N195" s="11">
        <f t="shared" si="21"/>
        <v>-13.12216233340963</v>
      </c>
    </row>
    <row r="196" spans="6:14" x14ac:dyDescent="0.3">
      <c r="F196" s="3">
        <f t="shared" si="22"/>
        <v>18</v>
      </c>
      <c r="G196" s="3">
        <v>28</v>
      </c>
      <c r="H196" s="3">
        <v>0</v>
      </c>
      <c r="I196" s="7">
        <f t="shared" si="20"/>
        <v>18.466666666666665</v>
      </c>
      <c r="J196" s="5">
        <f t="shared" si="19"/>
        <v>277</v>
      </c>
      <c r="K196" s="3"/>
      <c r="L196" s="3"/>
      <c r="M196" s="3"/>
      <c r="N196" s="11">
        <f t="shared" si="21"/>
        <v>-11.269156369319889</v>
      </c>
    </row>
    <row r="197" spans="6:14" x14ac:dyDescent="0.3">
      <c r="F197" s="3">
        <f t="shared" si="22"/>
        <v>18</v>
      </c>
      <c r="G197" s="3">
        <v>32</v>
      </c>
      <c r="H197" s="3">
        <v>0</v>
      </c>
      <c r="I197" s="7">
        <f t="shared" si="20"/>
        <v>18.533333333333335</v>
      </c>
      <c r="J197" s="5">
        <f t="shared" si="19"/>
        <v>278</v>
      </c>
      <c r="K197" s="3"/>
      <c r="L197" s="3"/>
      <c r="M197" s="3"/>
      <c r="N197" s="11">
        <f t="shared" si="21"/>
        <v>-9.3885795847118114</v>
      </c>
    </row>
    <row r="198" spans="6:14" x14ac:dyDescent="0.3">
      <c r="F198" s="3">
        <f t="shared" si="22"/>
        <v>18</v>
      </c>
      <c r="G198" s="3">
        <v>36</v>
      </c>
      <c r="H198" s="3">
        <v>0</v>
      </c>
      <c r="I198" s="7">
        <f t="shared" si="20"/>
        <v>18.600000000000001</v>
      </c>
      <c r="J198" s="5">
        <f t="shared" si="19"/>
        <v>279</v>
      </c>
      <c r="K198" s="3"/>
      <c r="L198" s="3"/>
      <c r="M198" s="3"/>
      <c r="N198" s="11">
        <f t="shared" si="21"/>
        <v>-7.4845379896278112</v>
      </c>
    </row>
    <row r="199" spans="6:14" x14ac:dyDescent="0.3">
      <c r="F199" s="3">
        <f t="shared" si="22"/>
        <v>18</v>
      </c>
      <c r="G199" s="3">
        <v>40</v>
      </c>
      <c r="H199" s="3">
        <v>0</v>
      </c>
      <c r="I199" s="7">
        <f t="shared" si="20"/>
        <v>18.666666666666668</v>
      </c>
      <c r="J199" s="5">
        <f t="shared" si="19"/>
        <v>280</v>
      </c>
      <c r="K199" s="3"/>
      <c r="L199" s="3"/>
      <c r="M199" s="3"/>
      <c r="N199" s="11">
        <f t="shared" si="21"/>
        <v>-5.5614590404656576</v>
      </c>
    </row>
    <row r="200" spans="6:14" x14ac:dyDescent="0.3">
      <c r="F200" s="3">
        <f t="shared" si="22"/>
        <v>18</v>
      </c>
      <c r="G200" s="3">
        <v>44</v>
      </c>
      <c r="H200" s="3">
        <v>0</v>
      </c>
      <c r="I200" s="7">
        <f t="shared" si="20"/>
        <v>18.733333333333334</v>
      </c>
      <c r="J200" s="5">
        <f t="shared" si="19"/>
        <v>281</v>
      </c>
      <c r="K200" s="3"/>
      <c r="L200" s="3"/>
      <c r="M200" s="3"/>
      <c r="N200" s="11">
        <f t="shared" si="21"/>
        <v>-3.6240395981845621</v>
      </c>
    </row>
    <row r="201" spans="6:14" x14ac:dyDescent="0.3">
      <c r="F201" s="3">
        <f t="shared" si="22"/>
        <v>18</v>
      </c>
      <c r="G201" s="3">
        <v>48</v>
      </c>
      <c r="H201" s="3">
        <v>0</v>
      </c>
      <c r="I201" s="7">
        <f t="shared" si="20"/>
        <v>18.8</v>
      </c>
      <c r="J201" s="5">
        <f t="shared" ref="J201:J264" si="23">((((H201/60)+G201)/60)+F201)*15</f>
        <v>282</v>
      </c>
      <c r="K201" s="3"/>
      <c r="L201" s="3"/>
      <c r="M201" s="3"/>
      <c r="N201" s="11">
        <f t="shared" si="21"/>
        <v>-1.6771846191304471</v>
      </c>
    </row>
    <row r="202" spans="6:14" x14ac:dyDescent="0.3">
      <c r="F202" s="3">
        <f t="shared" si="22"/>
        <v>18</v>
      </c>
      <c r="G202" s="3">
        <v>52</v>
      </c>
      <c r="H202" s="3">
        <v>0</v>
      </c>
      <c r="I202" s="7">
        <f t="shared" si="20"/>
        <v>18.866666666666667</v>
      </c>
      <c r="J202" s="5">
        <f t="shared" si="23"/>
        <v>283</v>
      </c>
      <c r="K202" s="3"/>
      <c r="L202" s="3"/>
      <c r="M202" s="3"/>
      <c r="N202" s="11">
        <f t="shared" si="21"/>
        <v>0.27406158088232896</v>
      </c>
    </row>
    <row r="203" spans="6:14" x14ac:dyDescent="0.3">
      <c r="F203" s="3">
        <f t="shared" si="22"/>
        <v>18</v>
      </c>
      <c r="G203" s="3">
        <v>56</v>
      </c>
      <c r="H203" s="3">
        <v>0</v>
      </c>
      <c r="I203" s="7">
        <f t="shared" si="20"/>
        <v>18.933333333333334</v>
      </c>
      <c r="J203" s="5">
        <f t="shared" si="23"/>
        <v>284</v>
      </c>
      <c r="K203" s="3"/>
      <c r="L203" s="3"/>
      <c r="M203" s="3"/>
      <c r="N203" s="11">
        <f t="shared" si="21"/>
        <v>2.224589164866889</v>
      </c>
    </row>
    <row r="204" spans="6:14" x14ac:dyDescent="0.3">
      <c r="F204" s="3">
        <f t="shared" si="22"/>
        <v>19</v>
      </c>
      <c r="G204" s="3">
        <v>0</v>
      </c>
      <c r="H204" s="3">
        <v>0</v>
      </c>
      <c r="I204" s="7">
        <f t="shared" si="20"/>
        <v>19</v>
      </c>
      <c r="J204" s="5">
        <f t="shared" si="23"/>
        <v>285</v>
      </c>
      <c r="K204" s="3"/>
      <c r="L204" s="3"/>
      <c r="M204" s="3"/>
      <c r="N204" s="11">
        <f t="shared" si="21"/>
        <v>4.1692990472301314</v>
      </c>
    </row>
    <row r="205" spans="6:14" x14ac:dyDescent="0.3">
      <c r="F205" s="3">
        <f t="shared" si="22"/>
        <v>19</v>
      </c>
      <c r="G205" s="3">
        <v>4</v>
      </c>
      <c r="H205" s="3">
        <v>0</v>
      </c>
      <c r="I205" s="7">
        <f t="shared" si="20"/>
        <v>19.066666666666666</v>
      </c>
      <c r="J205" s="5">
        <f t="shared" si="23"/>
        <v>286</v>
      </c>
      <c r="K205" s="3"/>
      <c r="L205" s="3"/>
      <c r="M205" s="3"/>
      <c r="N205" s="11">
        <f t="shared" si="21"/>
        <v>6.1031787653556595</v>
      </c>
    </row>
    <row r="206" spans="6:14" x14ac:dyDescent="0.3">
      <c r="F206" s="3">
        <f t="shared" si="22"/>
        <v>19</v>
      </c>
      <c r="G206" s="3">
        <v>8</v>
      </c>
      <c r="H206" s="3">
        <v>0</v>
      </c>
      <c r="I206" s="7">
        <f t="shared" si="20"/>
        <v>19.133333333333333</v>
      </c>
      <c r="J206" s="5">
        <f t="shared" si="23"/>
        <v>287</v>
      </c>
      <c r="K206" s="3"/>
      <c r="L206" s="3"/>
      <c r="M206" s="3"/>
      <c r="N206" s="11">
        <f t="shared" si="21"/>
        <v>8.0213751426205455</v>
      </c>
    </row>
    <row r="207" spans="6:14" x14ac:dyDescent="0.3">
      <c r="F207" s="3">
        <f t="shared" si="22"/>
        <v>19</v>
      </c>
      <c r="G207" s="3">
        <v>12</v>
      </c>
      <c r="H207" s="3">
        <v>0</v>
      </c>
      <c r="I207" s="7">
        <f t="shared" si="20"/>
        <v>19.2</v>
      </c>
      <c r="J207" s="5">
        <f t="shared" si="23"/>
        <v>288</v>
      </c>
      <c r="K207" s="3"/>
      <c r="L207" s="3"/>
      <c r="M207" s="3"/>
      <c r="N207" s="11">
        <f t="shared" si="21"/>
        <v>9.919261154715544</v>
      </c>
    </row>
    <row r="208" spans="6:14" x14ac:dyDescent="0.3">
      <c r="F208" s="3">
        <f t="shared" si="22"/>
        <v>19</v>
      </c>
      <c r="G208" s="3">
        <v>16</v>
      </c>
      <c r="H208" s="3">
        <v>0</v>
      </c>
      <c r="I208" s="7">
        <f t="shared" si="20"/>
        <v>19.266666666666666</v>
      </c>
      <c r="J208" s="5">
        <f t="shared" si="23"/>
        <v>289</v>
      </c>
      <c r="K208" s="3"/>
      <c r="L208" s="3"/>
      <c r="M208" s="3"/>
      <c r="N208" s="11">
        <f t="shared" si="21"/>
        <v>11.792494798563693</v>
      </c>
    </row>
    <row r="209" spans="6:14" x14ac:dyDescent="0.3">
      <c r="F209" s="3">
        <f t="shared" si="22"/>
        <v>19</v>
      </c>
      <c r="G209" s="3">
        <v>20</v>
      </c>
      <c r="H209" s="3">
        <v>0</v>
      </c>
      <c r="I209" s="7">
        <f t="shared" si="20"/>
        <v>19.333333333333332</v>
      </c>
      <c r="J209" s="5">
        <f t="shared" si="23"/>
        <v>290</v>
      </c>
      <c r="K209" s="3"/>
      <c r="L209" s="3"/>
      <c r="M209" s="3"/>
      <c r="N209" s="11">
        <f t="shared" si="21"/>
        <v>13.637068277672668</v>
      </c>
    </row>
    <row r="210" spans="6:14" x14ac:dyDescent="0.3">
      <c r="F210" s="3">
        <f t="shared" si="22"/>
        <v>19</v>
      </c>
      <c r="G210" s="3">
        <v>24</v>
      </c>
      <c r="H210" s="3">
        <v>0</v>
      </c>
      <c r="I210" s="7">
        <f t="shared" si="20"/>
        <v>19.399999999999999</v>
      </c>
      <c r="J210" s="5">
        <f t="shared" si="23"/>
        <v>291</v>
      </c>
      <c r="K210" s="3"/>
      <c r="L210" s="3"/>
      <c r="M210" s="3"/>
      <c r="N210" s="11">
        <f t="shared" si="21"/>
        <v>15.449346407706056</v>
      </c>
    </row>
    <row r="211" spans="6:14" x14ac:dyDescent="0.3">
      <c r="F211" s="3">
        <f t="shared" si="22"/>
        <v>19</v>
      </c>
      <c r="G211" s="3">
        <v>28</v>
      </c>
      <c r="H211" s="3">
        <v>0</v>
      </c>
      <c r="I211" s="7">
        <f t="shared" si="20"/>
        <v>19.466666666666665</v>
      </c>
      <c r="J211" s="5">
        <f t="shared" si="23"/>
        <v>292</v>
      </c>
      <c r="K211" s="3"/>
      <c r="L211" s="3"/>
      <c r="M211" s="3"/>
      <c r="N211" s="11">
        <f t="shared" si="21"/>
        <v>17.226093756235048</v>
      </c>
    </row>
    <row r="212" spans="6:14" x14ac:dyDescent="0.3">
      <c r="F212" s="3">
        <f t="shared" si="22"/>
        <v>19</v>
      </c>
      <c r="G212" s="3">
        <v>32</v>
      </c>
      <c r="H212" s="3">
        <v>0</v>
      </c>
      <c r="I212" s="7">
        <f t="shared" si="20"/>
        <v>19.533333333333335</v>
      </c>
      <c r="J212" s="5">
        <f t="shared" si="23"/>
        <v>293</v>
      </c>
      <c r="K212" s="3"/>
      <c r="L212" s="3"/>
      <c r="M212" s="3"/>
      <c r="N212" s="11">
        <f t="shared" si="21"/>
        <v>18.964490609558226</v>
      </c>
    </row>
    <row r="213" spans="6:14" x14ac:dyDescent="0.3">
      <c r="F213" s="3">
        <f t="shared" si="22"/>
        <v>19</v>
      </c>
      <c r="G213" s="3">
        <v>36</v>
      </c>
      <c r="H213" s="3">
        <v>0</v>
      </c>
      <c r="I213" s="7">
        <f t="shared" si="20"/>
        <v>19.600000000000001</v>
      </c>
      <c r="J213" s="5">
        <f t="shared" si="23"/>
        <v>294</v>
      </c>
      <c r="K213" s="3"/>
      <c r="L213" s="3"/>
      <c r="M213" s="3"/>
      <c r="N213" s="11">
        <f t="shared" si="21"/>
        <v>20.662138365138691</v>
      </c>
    </row>
    <row r="214" spans="6:14" x14ac:dyDescent="0.3">
      <c r="F214" s="3">
        <f t="shared" si="22"/>
        <v>19</v>
      </c>
      <c r="G214" s="3">
        <v>40</v>
      </c>
      <c r="H214" s="3">
        <v>0</v>
      </c>
      <c r="I214" s="7">
        <f t="shared" si="20"/>
        <v>19.666666666666668</v>
      </c>
      <c r="J214" s="5">
        <f t="shared" si="23"/>
        <v>295</v>
      </c>
      <c r="K214" s="3"/>
      <c r="L214" s="3"/>
      <c r="M214" s="3"/>
      <c r="N214" s="11">
        <f t="shared" si="21"/>
        <v>22.31705535164134</v>
      </c>
    </row>
    <row r="215" spans="6:14" x14ac:dyDescent="0.3">
      <c r="F215" s="3">
        <f t="shared" si="22"/>
        <v>19</v>
      </c>
      <c r="G215" s="3">
        <v>44</v>
      </c>
      <c r="H215" s="3">
        <v>0</v>
      </c>
      <c r="I215" s="7">
        <f t="shared" si="20"/>
        <v>19.733333333333334</v>
      </c>
      <c r="J215" s="5">
        <f t="shared" si="23"/>
        <v>296</v>
      </c>
      <c r="K215" s="3"/>
      <c r="L215" s="3"/>
      <c r="M215" s="3"/>
      <c r="N215" s="11">
        <f t="shared" si="21"/>
        <v>23.927664365034847</v>
      </c>
    </row>
    <row r="216" spans="6:14" x14ac:dyDescent="0.3">
      <c r="F216" s="3">
        <f t="shared" si="22"/>
        <v>19</v>
      </c>
      <c r="G216" s="3">
        <v>48</v>
      </c>
      <c r="H216" s="3">
        <v>0</v>
      </c>
      <c r="I216" s="7">
        <f t="shared" si="20"/>
        <v>19.8</v>
      </c>
      <c r="J216" s="5">
        <f t="shared" si="23"/>
        <v>297</v>
      </c>
      <c r="K216" s="3"/>
      <c r="L216" s="3"/>
      <c r="M216" s="3"/>
      <c r="N216" s="11">
        <f t="shared" si="21"/>
        <v>25.492773377324379</v>
      </c>
    </row>
    <row r="217" spans="6:14" x14ac:dyDescent="0.3">
      <c r="F217" s="3">
        <f t="shared" si="22"/>
        <v>19</v>
      </c>
      <c r="G217" s="3">
        <v>52</v>
      </c>
      <c r="H217" s="3">
        <v>0</v>
      </c>
      <c r="I217" s="7">
        <f t="shared" ref="I217:I280" si="24">(((H217/60)+G217)/60)+F217</f>
        <v>19.866666666666667</v>
      </c>
      <c r="J217" s="5">
        <f t="shared" si="23"/>
        <v>298</v>
      </c>
      <c r="K217" s="3"/>
      <c r="L217" s="3"/>
      <c r="M217" s="3"/>
      <c r="N217" s="11">
        <f t="shared" ref="N217:N280" si="25">DEGREES(ATAN(-(COS(RADIANS($S$6))/SIN(RADIANS($S$6)))*COS(RADIANS(J217-$S$7))))</f>
        <v>27.011550933587536</v>
      </c>
    </row>
    <row r="218" spans="6:14" x14ac:dyDescent="0.3">
      <c r="F218" s="3">
        <f t="shared" si="22"/>
        <v>19</v>
      </c>
      <c r="G218" s="3">
        <v>56</v>
      </c>
      <c r="H218" s="3">
        <v>0</v>
      </c>
      <c r="I218" s="7">
        <f t="shared" si="24"/>
        <v>19.933333333333334</v>
      </c>
      <c r="J218" s="5">
        <f t="shared" si="23"/>
        <v>299</v>
      </c>
      <c r="K218" s="3"/>
      <c r="L218" s="3"/>
      <c r="M218" s="3"/>
      <c r="N218" s="11">
        <f t="shared" si="25"/>
        <v>28.483497719981845</v>
      </c>
    </row>
    <row r="219" spans="6:14" x14ac:dyDescent="0.3">
      <c r="F219" s="3">
        <f t="shared" si="22"/>
        <v>20</v>
      </c>
      <c r="G219" s="3">
        <v>0</v>
      </c>
      <c r="H219" s="3">
        <v>0</v>
      </c>
      <c r="I219" s="7">
        <f t="shared" si="24"/>
        <v>20</v>
      </c>
      <c r="J219" s="5">
        <f t="shared" si="23"/>
        <v>300</v>
      </c>
      <c r="K219" s="3"/>
      <c r="L219" s="3"/>
      <c r="M219" s="3"/>
      <c r="N219" s="11">
        <f t="shared" si="25"/>
        <v>29.908415681233123</v>
      </c>
    </row>
    <row r="220" spans="6:14" x14ac:dyDescent="0.3">
      <c r="F220" s="3">
        <f t="shared" si="22"/>
        <v>20</v>
      </c>
      <c r="G220" s="3">
        <v>4</v>
      </c>
      <c r="H220" s="3">
        <v>0</v>
      </c>
      <c r="I220" s="7">
        <f t="shared" si="24"/>
        <v>20.066666666666666</v>
      </c>
      <c r="J220" s="5">
        <f t="shared" si="23"/>
        <v>301</v>
      </c>
      <c r="K220" s="3"/>
      <c r="L220" s="3"/>
      <c r="M220" s="3"/>
      <c r="N220" s="11">
        <f t="shared" si="25"/>
        <v>31.286375912753908</v>
      </c>
    </row>
    <row r="221" spans="6:14" x14ac:dyDescent="0.3">
      <c r="F221" s="3">
        <f t="shared" si="22"/>
        <v>20</v>
      </c>
      <c r="G221" s="3">
        <v>8</v>
      </c>
      <c r="H221" s="3">
        <v>0</v>
      </c>
      <c r="I221" s="7">
        <f t="shared" si="24"/>
        <v>20.133333333333333</v>
      </c>
      <c r="J221" s="5">
        <f t="shared" si="23"/>
        <v>302</v>
      </c>
      <c r="K221" s="3"/>
      <c r="L221" s="3"/>
      <c r="M221" s="3"/>
      <c r="N221" s="11">
        <f t="shared" si="25"/>
        <v>32.617686370575804</v>
      </c>
    </row>
    <row r="222" spans="6:14" x14ac:dyDescent="0.3">
      <c r="F222" s="3">
        <f t="shared" si="22"/>
        <v>20</v>
      </c>
      <c r="G222" s="3">
        <v>12</v>
      </c>
      <c r="H222" s="3">
        <v>0</v>
      </c>
      <c r="I222" s="7">
        <f t="shared" si="24"/>
        <v>20.2</v>
      </c>
      <c r="J222" s="5">
        <f t="shared" si="23"/>
        <v>303</v>
      </c>
      <c r="K222" s="3"/>
      <c r="L222" s="3"/>
      <c r="M222" s="3"/>
      <c r="N222" s="11">
        <f t="shared" si="25"/>
        <v>33.902860249385711</v>
      </c>
    </row>
    <row r="223" spans="6:14" x14ac:dyDescent="0.3">
      <c r="F223" s="3">
        <f t="shared" si="22"/>
        <v>20</v>
      </c>
      <c r="G223" s="3">
        <v>16</v>
      </c>
      <c r="H223" s="3">
        <v>0</v>
      </c>
      <c r="I223" s="7">
        <f t="shared" si="24"/>
        <v>20.266666666666666</v>
      </c>
      <c r="J223" s="5">
        <f t="shared" si="23"/>
        <v>304</v>
      </c>
      <c r="K223" s="3"/>
      <c r="L223" s="3"/>
      <c r="M223" s="3"/>
      <c r="N223" s="11">
        <f t="shared" si="25"/>
        <v>35.142585689093544</v>
      </c>
    </row>
    <row r="224" spans="6:14" x14ac:dyDescent="0.3">
      <c r="F224" s="3">
        <f t="shared" si="22"/>
        <v>20</v>
      </c>
      <c r="G224" s="3">
        <v>20</v>
      </c>
      <c r="H224" s="3">
        <v>0</v>
      </c>
      <c r="I224" s="7">
        <f t="shared" si="24"/>
        <v>20.333333333333332</v>
      </c>
      <c r="J224" s="5">
        <f t="shared" si="23"/>
        <v>305</v>
      </c>
      <c r="K224" s="3"/>
      <c r="L224" s="3"/>
      <c r="M224" s="3"/>
      <c r="N224" s="11">
        <f t="shared" si="25"/>
        <v>36.337697293601686</v>
      </c>
    </row>
    <row r="225" spans="6:14" x14ac:dyDescent="0.3">
      <c r="F225" s="3">
        <f t="shared" si="22"/>
        <v>20</v>
      </c>
      <c r="G225" s="3">
        <v>24</v>
      </c>
      <c r="H225" s="3">
        <v>0</v>
      </c>
      <c r="I225" s="7">
        <f t="shared" si="24"/>
        <v>20.399999999999999</v>
      </c>
      <c r="J225" s="5">
        <f t="shared" si="23"/>
        <v>306</v>
      </c>
      <c r="K225" s="3"/>
      <c r="L225" s="3"/>
      <c r="M225" s="3"/>
      <c r="N225" s="11">
        <f t="shared" si="25"/>
        <v>37.489149788252462</v>
      </c>
    </row>
    <row r="226" spans="6:14" x14ac:dyDescent="0.3">
      <c r="F226" s="3">
        <f t="shared" si="22"/>
        <v>20</v>
      </c>
      <c r="G226" s="3">
        <v>28</v>
      </c>
      <c r="H226" s="3">
        <v>0</v>
      </c>
      <c r="I226" s="7">
        <f t="shared" si="24"/>
        <v>20.466666666666665</v>
      </c>
      <c r="J226" s="5">
        <f t="shared" si="23"/>
        <v>307</v>
      </c>
      <c r="K226" s="3"/>
      <c r="L226" s="3"/>
      <c r="M226" s="3"/>
      <c r="N226" s="11">
        <f t="shared" si="25"/>
        <v>38.597994008181495</v>
      </c>
    </row>
    <row r="227" spans="6:14" x14ac:dyDescent="0.3">
      <c r="F227" s="3">
        <f t="shared" si="22"/>
        <v>20</v>
      </c>
      <c r="G227" s="3">
        <v>32</v>
      </c>
      <c r="H227" s="3">
        <v>0</v>
      </c>
      <c r="I227" s="7">
        <f t="shared" si="24"/>
        <v>20.533333333333335</v>
      </c>
      <c r="J227" s="5">
        <f t="shared" si="23"/>
        <v>308</v>
      </c>
      <c r="K227" s="3"/>
      <c r="L227" s="3"/>
      <c r="M227" s="3"/>
      <c r="N227" s="11">
        <f t="shared" si="25"/>
        <v>39.66535529946794</v>
      </c>
    </row>
    <row r="228" spans="6:14" x14ac:dyDescent="0.3">
      <c r="F228" s="3">
        <f t="shared" si="22"/>
        <v>20</v>
      </c>
      <c r="G228" s="3">
        <v>36</v>
      </c>
      <c r="H228" s="3">
        <v>0</v>
      </c>
      <c r="I228" s="7">
        <f t="shared" si="24"/>
        <v>20.6</v>
      </c>
      <c r="J228" s="5">
        <f t="shared" si="23"/>
        <v>309</v>
      </c>
      <c r="K228" s="3"/>
      <c r="L228" s="3"/>
      <c r="M228" s="3"/>
      <c r="N228" s="11">
        <f t="shared" si="25"/>
        <v>40.69241432775452</v>
      </c>
    </row>
    <row r="229" spans="6:14" x14ac:dyDescent="0.3">
      <c r="F229" s="3">
        <f t="shared" si="22"/>
        <v>20</v>
      </c>
      <c r="G229" s="3">
        <v>40</v>
      </c>
      <c r="H229" s="3">
        <v>0</v>
      </c>
      <c r="I229" s="7">
        <f t="shared" si="24"/>
        <v>20.666666666666668</v>
      </c>
      <c r="J229" s="5">
        <f t="shared" si="23"/>
        <v>310</v>
      </c>
      <c r="K229" s="3"/>
      <c r="L229" s="3"/>
      <c r="M229" s="3"/>
      <c r="N229" s="11">
        <f t="shared" si="25"/>
        <v>41.680390222968207</v>
      </c>
    </row>
    <row r="230" spans="6:14" x14ac:dyDescent="0.3">
      <c r="F230" s="3">
        <f t="shared" si="22"/>
        <v>20</v>
      </c>
      <c r="G230" s="3">
        <v>44</v>
      </c>
      <c r="H230" s="3">
        <v>0</v>
      </c>
      <c r="I230" s="7">
        <f t="shared" si="24"/>
        <v>20.733333333333334</v>
      </c>
      <c r="J230" s="5">
        <f t="shared" si="23"/>
        <v>311</v>
      </c>
      <c r="K230" s="3"/>
      <c r="L230" s="3"/>
      <c r="M230" s="3"/>
      <c r="N230" s="11">
        <f t="shared" si="25"/>
        <v>42.630525941300988</v>
      </c>
    </row>
    <row r="231" spans="6:14" x14ac:dyDescent="0.3">
      <c r="F231" s="3">
        <f t="shared" si="22"/>
        <v>20</v>
      </c>
      <c r="G231" s="3">
        <v>48</v>
      </c>
      <c r="H231" s="3">
        <v>0</v>
      </c>
      <c r="I231" s="7">
        <f t="shared" si="24"/>
        <v>20.8</v>
      </c>
      <c r="J231" s="5">
        <f t="shared" si="23"/>
        <v>312</v>
      </c>
      <c r="K231" s="3"/>
      <c r="L231" s="3"/>
      <c r="M231" s="3"/>
      <c r="N231" s="11">
        <f t="shared" si="25"/>
        <v>43.544075693835829</v>
      </c>
    </row>
    <row r="232" spans="6:14" x14ac:dyDescent="0.3">
      <c r="F232" s="3">
        <f t="shared" si="22"/>
        <v>20</v>
      </c>
      <c r="G232" s="3">
        <v>52</v>
      </c>
      <c r="H232" s="3">
        <v>0</v>
      </c>
      <c r="I232" s="7">
        <f t="shared" si="24"/>
        <v>20.866666666666667</v>
      </c>
      <c r="J232" s="5">
        <f t="shared" si="23"/>
        <v>313</v>
      </c>
      <c r="K232" s="3"/>
      <c r="L232" s="3"/>
      <c r="M232" s="3"/>
      <c r="N232" s="11">
        <f t="shared" si="25"/>
        <v>44.422294272247498</v>
      </c>
    </row>
    <row r="233" spans="6:14" x14ac:dyDescent="0.3">
      <c r="F233" s="3">
        <f t="shared" si="22"/>
        <v>20</v>
      </c>
      <c r="G233" s="3">
        <v>56</v>
      </c>
      <c r="H233" s="3">
        <v>0</v>
      </c>
      <c r="I233" s="7">
        <f t="shared" si="24"/>
        <v>20.933333333333334</v>
      </c>
      <c r="J233" s="5">
        <f t="shared" si="23"/>
        <v>314</v>
      </c>
      <c r="K233" s="3"/>
      <c r="L233" s="3"/>
      <c r="M233" s="3"/>
      <c r="N233" s="11">
        <f t="shared" si="25"/>
        <v>45.266428093187557</v>
      </c>
    </row>
    <row r="234" spans="6:14" x14ac:dyDescent="0.3">
      <c r="F234" s="3">
        <f t="shared" si="22"/>
        <v>21</v>
      </c>
      <c r="G234" s="3">
        <v>0</v>
      </c>
      <c r="H234" s="3">
        <v>0</v>
      </c>
      <c r="I234" s="7">
        <f t="shared" si="24"/>
        <v>21</v>
      </c>
      <c r="J234" s="5">
        <f t="shared" si="23"/>
        <v>315</v>
      </c>
      <c r="K234" s="3"/>
      <c r="L234" s="3"/>
      <c r="M234" s="3"/>
      <c r="N234" s="11">
        <f t="shared" si="25"/>
        <v>46.077707781869861</v>
      </c>
    </row>
    <row r="235" spans="6:14" x14ac:dyDescent="0.3">
      <c r="F235" s="3">
        <f t="shared" si="22"/>
        <v>21</v>
      </c>
      <c r="G235" s="3">
        <v>4</v>
      </c>
      <c r="H235" s="3">
        <v>0</v>
      </c>
      <c r="I235" s="7">
        <f t="shared" si="24"/>
        <v>21.066666666666666</v>
      </c>
      <c r="J235" s="5">
        <f t="shared" si="23"/>
        <v>316</v>
      </c>
      <c r="K235" s="3"/>
      <c r="L235" s="3"/>
      <c r="M235" s="3"/>
      <c r="N235" s="11">
        <f t="shared" si="25"/>
        <v>46.857342119953479</v>
      </c>
    </row>
    <row r="236" spans="6:14" x14ac:dyDescent="0.3">
      <c r="F236" s="3">
        <f t="shared" si="22"/>
        <v>21</v>
      </c>
      <c r="G236" s="3">
        <v>8</v>
      </c>
      <c r="H236" s="3">
        <v>0</v>
      </c>
      <c r="I236" s="7">
        <f t="shared" si="24"/>
        <v>21.133333333333333</v>
      </c>
      <c r="J236" s="5">
        <f t="shared" si="23"/>
        <v>317</v>
      </c>
      <c r="K236" s="3"/>
      <c r="L236" s="3"/>
      <c r="M236" s="3"/>
      <c r="N236" s="11">
        <f t="shared" si="25"/>
        <v>47.606513191353187</v>
      </c>
    </row>
    <row r="237" spans="6:14" x14ac:dyDescent="0.3">
      <c r="F237" s="3">
        <f t="shared" si="22"/>
        <v>21</v>
      </c>
      <c r="G237" s="3">
        <v>12</v>
      </c>
      <c r="H237" s="3">
        <v>0</v>
      </c>
      <c r="I237" s="7">
        <f t="shared" si="24"/>
        <v>21.2</v>
      </c>
      <c r="J237" s="5">
        <f t="shared" si="23"/>
        <v>318</v>
      </c>
      <c r="K237" s="3"/>
      <c r="L237" s="3"/>
      <c r="M237" s="3"/>
      <c r="N237" s="11">
        <f t="shared" si="25"/>
        <v>48.326372570715989</v>
      </c>
    </row>
    <row r="238" spans="6:14" x14ac:dyDescent="0.3">
      <c r="F238" s="3">
        <f t="shared" si="22"/>
        <v>21</v>
      </c>
      <c r="G238" s="3">
        <v>16</v>
      </c>
      <c r="H238" s="3">
        <v>0</v>
      </c>
      <c r="I238" s="7">
        <f t="shared" si="24"/>
        <v>21.266666666666666</v>
      </c>
      <c r="J238" s="5">
        <f t="shared" si="23"/>
        <v>319</v>
      </c>
      <c r="K238" s="3"/>
      <c r="L238" s="3"/>
      <c r="M238" s="3"/>
      <c r="N238" s="11">
        <f t="shared" si="25"/>
        <v>49.018038411896519</v>
      </c>
    </row>
    <row r="239" spans="6:14" x14ac:dyDescent="0.3">
      <c r="F239" s="3">
        <f t="shared" si="22"/>
        <v>21</v>
      </c>
      <c r="G239" s="3">
        <v>20</v>
      </c>
      <c r="H239" s="3">
        <v>0</v>
      </c>
      <c r="I239" s="7">
        <f t="shared" si="24"/>
        <v>21.333333333333332</v>
      </c>
      <c r="J239" s="5">
        <f t="shared" si="23"/>
        <v>320</v>
      </c>
      <c r="K239" s="3"/>
      <c r="L239" s="3"/>
      <c r="M239" s="3"/>
      <c r="N239" s="11">
        <f t="shared" si="25"/>
        <v>49.682593307019573</v>
      </c>
    </row>
    <row r="240" spans="6:14" x14ac:dyDescent="0.3">
      <c r="F240" s="3">
        <f t="shared" si="22"/>
        <v>21</v>
      </c>
      <c r="G240" s="3">
        <v>24</v>
      </c>
      <c r="H240" s="3">
        <v>0</v>
      </c>
      <c r="I240" s="7">
        <f t="shared" si="24"/>
        <v>21.4</v>
      </c>
      <c r="J240" s="5">
        <f t="shared" si="23"/>
        <v>321</v>
      </c>
      <c r="K240" s="3"/>
      <c r="L240" s="3"/>
      <c r="M240" s="3"/>
      <c r="N240" s="11">
        <f t="shared" si="25"/>
        <v>50.321082800025302</v>
      </c>
    </row>
    <row r="241" spans="6:14" x14ac:dyDescent="0.3">
      <c r="F241" s="3">
        <f t="shared" si="22"/>
        <v>21</v>
      </c>
      <c r="G241" s="3">
        <v>28</v>
      </c>
      <c r="H241" s="3">
        <v>0</v>
      </c>
      <c r="I241" s="7">
        <f t="shared" si="24"/>
        <v>21.466666666666665</v>
      </c>
      <c r="J241" s="5">
        <f t="shared" si="23"/>
        <v>322</v>
      </c>
      <c r="K241" s="3"/>
      <c r="L241" s="3"/>
      <c r="M241" s="3"/>
      <c r="N241" s="11">
        <f t="shared" si="25"/>
        <v>50.934514451516542</v>
      </c>
    </row>
    <row r="242" spans="6:14" x14ac:dyDescent="0.3">
      <c r="F242" s="3">
        <f t="shared" si="22"/>
        <v>21</v>
      </c>
      <c r="G242" s="3">
        <v>32</v>
      </c>
      <c r="H242" s="3">
        <v>0</v>
      </c>
      <c r="I242" s="7">
        <f t="shared" si="24"/>
        <v>21.533333333333335</v>
      </c>
      <c r="J242" s="5">
        <f t="shared" si="23"/>
        <v>323</v>
      </c>
      <c r="K242" s="3"/>
      <c r="L242" s="3"/>
      <c r="M242" s="3"/>
      <c r="N242" s="11">
        <f t="shared" si="25"/>
        <v>51.523857363981293</v>
      </c>
    </row>
    <row r="243" spans="6:14" x14ac:dyDescent="0.3">
      <c r="F243" s="3">
        <f t="shared" ref="F243:F278" si="26">1+F228</f>
        <v>21</v>
      </c>
      <c r="G243" s="3">
        <v>36</v>
      </c>
      <c r="H243" s="3">
        <v>0</v>
      </c>
      <c r="I243" s="7">
        <f t="shared" si="24"/>
        <v>21.6</v>
      </c>
      <c r="J243" s="5">
        <f t="shared" si="23"/>
        <v>324</v>
      </c>
      <c r="K243" s="3"/>
      <c r="L243" s="3"/>
      <c r="M243" s="3"/>
      <c r="N243" s="11">
        <f t="shared" si="25"/>
        <v>52.090042087859622</v>
      </c>
    </row>
    <row r="244" spans="6:14" x14ac:dyDescent="0.3">
      <c r="F244" s="3">
        <f t="shared" si="26"/>
        <v>21</v>
      </c>
      <c r="G244" s="3">
        <v>40</v>
      </c>
      <c r="H244" s="3">
        <v>0</v>
      </c>
      <c r="I244" s="7">
        <f t="shared" si="24"/>
        <v>21.666666666666668</v>
      </c>
      <c r="J244" s="5">
        <f t="shared" si="23"/>
        <v>325</v>
      </c>
      <c r="K244" s="3"/>
      <c r="L244" s="3"/>
      <c r="M244" s="3"/>
      <c r="N244" s="11">
        <f t="shared" si="25"/>
        <v>52.633960839369486</v>
      </c>
    </row>
    <row r="245" spans="6:14" x14ac:dyDescent="0.3">
      <c r="F245" s="3">
        <f t="shared" si="26"/>
        <v>21</v>
      </c>
      <c r="G245" s="3">
        <v>44</v>
      </c>
      <c r="H245" s="3">
        <v>0</v>
      </c>
      <c r="I245" s="7">
        <f t="shared" si="24"/>
        <v>21.733333333333334</v>
      </c>
      <c r="J245" s="5">
        <f t="shared" si="23"/>
        <v>326</v>
      </c>
      <c r="K245" s="3"/>
      <c r="L245" s="3"/>
      <c r="M245" s="3"/>
      <c r="N245" s="11">
        <f t="shared" si="25"/>
        <v>53.15646797045828</v>
      </c>
    </row>
    <row r="246" spans="6:14" x14ac:dyDescent="0.3">
      <c r="F246" s="3">
        <f t="shared" si="26"/>
        <v>21</v>
      </c>
      <c r="G246" s="3">
        <v>48</v>
      </c>
      <c r="H246" s="3">
        <v>0</v>
      </c>
      <c r="I246" s="7">
        <f t="shared" si="24"/>
        <v>21.8</v>
      </c>
      <c r="J246" s="5">
        <f t="shared" si="23"/>
        <v>327</v>
      </c>
      <c r="K246" s="3"/>
      <c r="L246" s="3"/>
      <c r="M246" s="3"/>
      <c r="N246" s="11">
        <f t="shared" si="25"/>
        <v>53.658380639716547</v>
      </c>
    </row>
    <row r="247" spans="6:14" x14ac:dyDescent="0.3">
      <c r="F247" s="3">
        <f t="shared" si="26"/>
        <v>21</v>
      </c>
      <c r="G247" s="3">
        <v>52</v>
      </c>
      <c r="H247" s="3">
        <v>0</v>
      </c>
      <c r="I247" s="7">
        <f t="shared" si="24"/>
        <v>21.866666666666667</v>
      </c>
      <c r="J247" s="5">
        <f t="shared" si="23"/>
        <v>328</v>
      </c>
      <c r="K247" s="3"/>
      <c r="L247" s="3"/>
      <c r="M247" s="3"/>
      <c r="N247" s="11">
        <f t="shared" si="25"/>
        <v>54.140479640609833</v>
      </c>
    </row>
    <row r="248" spans="6:14" x14ac:dyDescent="0.3">
      <c r="F248" s="3">
        <f t="shared" si="26"/>
        <v>21</v>
      </c>
      <c r="G248" s="3">
        <v>56</v>
      </c>
      <c r="H248" s="3">
        <v>0</v>
      </c>
      <c r="I248" s="7">
        <f t="shared" si="24"/>
        <v>21.933333333333334</v>
      </c>
      <c r="J248" s="5">
        <f t="shared" si="23"/>
        <v>329</v>
      </c>
      <c r="K248" s="3"/>
      <c r="L248" s="3"/>
      <c r="M248" s="3"/>
      <c r="N248" s="11">
        <f t="shared" si="25"/>
        <v>54.603510350013238</v>
      </c>
    </row>
    <row r="249" spans="6:14" x14ac:dyDescent="0.3">
      <c r="F249" s="3">
        <f t="shared" si="26"/>
        <v>22</v>
      </c>
      <c r="G249" s="3">
        <v>0</v>
      </c>
      <c r="H249" s="3">
        <v>0</v>
      </c>
      <c r="I249" s="7">
        <f t="shared" si="24"/>
        <v>22</v>
      </c>
      <c r="J249" s="5">
        <f t="shared" si="23"/>
        <v>330</v>
      </c>
      <c r="K249" s="3"/>
      <c r="L249" s="3"/>
      <c r="M249" s="3"/>
      <c r="N249" s="11">
        <f t="shared" si="25"/>
        <v>55.04818376583566</v>
      </c>
    </row>
    <row r="250" spans="6:14" x14ac:dyDescent="0.3">
      <c r="F250" s="3">
        <f t="shared" si="26"/>
        <v>22</v>
      </c>
      <c r="G250" s="3">
        <v>4</v>
      </c>
      <c r="H250" s="3">
        <v>0</v>
      </c>
      <c r="I250" s="7">
        <f t="shared" si="24"/>
        <v>22.066666666666666</v>
      </c>
      <c r="J250" s="5">
        <f t="shared" si="23"/>
        <v>331</v>
      </c>
      <c r="K250" s="3"/>
      <c r="L250" s="3"/>
      <c r="M250" s="3"/>
      <c r="N250" s="11">
        <f t="shared" si="25"/>
        <v>55.475177607569876</v>
      </c>
    </row>
    <row r="251" spans="6:14" x14ac:dyDescent="0.3">
      <c r="F251" s="3">
        <f t="shared" si="26"/>
        <v>22</v>
      </c>
      <c r="G251" s="3">
        <v>8</v>
      </c>
      <c r="H251" s="3">
        <v>0</v>
      </c>
      <c r="I251" s="7">
        <f t="shared" si="24"/>
        <v>22.133333333333333</v>
      </c>
      <c r="J251" s="5">
        <f t="shared" si="23"/>
        <v>332</v>
      </c>
      <c r="K251" s="3"/>
      <c r="L251" s="3"/>
      <c r="M251" s="3"/>
      <c r="N251" s="11">
        <f t="shared" si="25"/>
        <v>55.885137457976569</v>
      </c>
    </row>
    <row r="252" spans="6:14" x14ac:dyDescent="0.3">
      <c r="F252" s="3">
        <f t="shared" si="26"/>
        <v>22</v>
      </c>
      <c r="G252" s="3">
        <v>12</v>
      </c>
      <c r="H252" s="3">
        <v>0</v>
      </c>
      <c r="I252" s="7">
        <f t="shared" si="24"/>
        <v>22.2</v>
      </c>
      <c r="J252" s="5">
        <f t="shared" si="23"/>
        <v>333</v>
      </c>
      <c r="K252" s="3"/>
      <c r="L252" s="3"/>
      <c r="M252" s="3"/>
      <c r="N252" s="11">
        <f t="shared" si="25"/>
        <v>56.278677927874483</v>
      </c>
    </row>
    <row r="253" spans="6:14" x14ac:dyDescent="0.3">
      <c r="F253" s="3">
        <f t="shared" si="26"/>
        <v>22</v>
      </c>
      <c r="G253" s="3">
        <v>16</v>
      </c>
      <c r="H253" s="3">
        <v>0</v>
      </c>
      <c r="I253" s="7">
        <f t="shared" si="24"/>
        <v>22.266666666666666</v>
      </c>
      <c r="J253" s="5">
        <f t="shared" si="23"/>
        <v>334</v>
      </c>
      <c r="K253" s="3"/>
      <c r="L253" s="3"/>
      <c r="M253" s="3"/>
      <c r="N253" s="11">
        <f t="shared" si="25"/>
        <v>56.656383829237399</v>
      </c>
    </row>
    <row r="254" spans="6:14" x14ac:dyDescent="0.3">
      <c r="F254" s="3">
        <f t="shared" si="26"/>
        <v>22</v>
      </c>
      <c r="G254" s="3">
        <v>20</v>
      </c>
      <c r="H254" s="3">
        <v>0</v>
      </c>
      <c r="I254" s="7">
        <f t="shared" si="24"/>
        <v>22.333333333333332</v>
      </c>
      <c r="J254" s="5">
        <f t="shared" si="23"/>
        <v>335</v>
      </c>
      <c r="K254" s="3"/>
      <c r="L254" s="3"/>
      <c r="M254" s="3"/>
      <c r="N254" s="11">
        <f t="shared" si="25"/>
        <v>57.018811344553093</v>
      </c>
    </row>
    <row r="255" spans="6:14" x14ac:dyDescent="0.3">
      <c r="F255" s="3">
        <f t="shared" si="26"/>
        <v>22</v>
      </c>
      <c r="G255" s="3">
        <v>24</v>
      </c>
      <c r="H255" s="3">
        <v>0</v>
      </c>
      <c r="I255" s="7">
        <f t="shared" si="24"/>
        <v>22.4</v>
      </c>
      <c r="J255" s="5">
        <f t="shared" si="23"/>
        <v>336</v>
      </c>
      <c r="K255" s="3"/>
      <c r="L255" s="3"/>
      <c r="M255" s="3"/>
      <c r="N255" s="11">
        <f t="shared" si="25"/>
        <v>57.366489182741397</v>
      </c>
    </row>
    <row r="256" spans="6:14" x14ac:dyDescent="0.3">
      <c r="F256" s="3">
        <f t="shared" si="26"/>
        <v>22</v>
      </c>
      <c r="G256" s="3">
        <v>28</v>
      </c>
      <c r="H256" s="3">
        <v>0</v>
      </c>
      <c r="I256" s="7">
        <f t="shared" si="24"/>
        <v>22.466666666666665</v>
      </c>
      <c r="J256" s="5">
        <f t="shared" si="23"/>
        <v>337</v>
      </c>
      <c r="K256" s="3"/>
      <c r="L256" s="3"/>
      <c r="M256" s="3"/>
      <c r="N256" s="11">
        <f t="shared" si="25"/>
        <v>57.699919713909615</v>
      </c>
    </row>
    <row r="257" spans="6:14" x14ac:dyDescent="0.3">
      <c r="F257" s="3">
        <f t="shared" si="26"/>
        <v>22</v>
      </c>
      <c r="G257" s="3">
        <v>32</v>
      </c>
      <c r="H257" s="3">
        <v>0</v>
      </c>
      <c r="I257" s="7">
        <f t="shared" si="24"/>
        <v>22.533333333333335</v>
      </c>
      <c r="J257" s="5">
        <f t="shared" si="23"/>
        <v>338</v>
      </c>
      <c r="K257" s="3"/>
      <c r="L257" s="3"/>
      <c r="M257" s="3"/>
      <c r="N257" s="11">
        <f t="shared" si="25"/>
        <v>58.019580076893469</v>
      </c>
    </row>
    <row r="258" spans="6:14" x14ac:dyDescent="0.3">
      <c r="F258" s="3">
        <f t="shared" si="26"/>
        <v>22</v>
      </c>
      <c r="G258" s="3">
        <v>36</v>
      </c>
      <c r="H258" s="3">
        <v>0</v>
      </c>
      <c r="I258" s="7">
        <f t="shared" si="24"/>
        <v>22.6</v>
      </c>
      <c r="J258" s="5">
        <f t="shared" si="23"/>
        <v>339</v>
      </c>
      <c r="K258" s="3"/>
      <c r="L258" s="3"/>
      <c r="M258" s="3"/>
      <c r="N258" s="11">
        <f t="shared" si="25"/>
        <v>58.325923254931794</v>
      </c>
    </row>
    <row r="259" spans="6:14" x14ac:dyDescent="0.3">
      <c r="F259" s="3">
        <f t="shared" si="26"/>
        <v>22</v>
      </c>
      <c r="G259" s="3">
        <v>40</v>
      </c>
      <c r="H259" s="3">
        <v>0</v>
      </c>
      <c r="I259" s="7">
        <f t="shared" si="24"/>
        <v>22.666666666666668</v>
      </c>
      <c r="J259" s="5">
        <f t="shared" si="23"/>
        <v>340</v>
      </c>
      <c r="K259" s="3"/>
      <c r="L259" s="3"/>
      <c r="M259" s="3"/>
      <c r="N259" s="11">
        <f t="shared" si="25"/>
        <v>58.619379115992686</v>
      </c>
    </row>
    <row r="260" spans="6:14" x14ac:dyDescent="0.3">
      <c r="F260" s="3">
        <f t="shared" si="26"/>
        <v>22</v>
      </c>
      <c r="G260" s="3">
        <v>44</v>
      </c>
      <c r="H260" s="3">
        <v>0</v>
      </c>
      <c r="I260" s="7">
        <f t="shared" si="24"/>
        <v>22.733333333333334</v>
      </c>
      <c r="J260" s="5">
        <f t="shared" si="23"/>
        <v>341</v>
      </c>
      <c r="K260" s="3"/>
      <c r="L260" s="3"/>
      <c r="M260" s="3"/>
      <c r="N260" s="11">
        <f t="shared" si="25"/>
        <v>58.900355415239595</v>
      </c>
    </row>
    <row r="261" spans="6:14" x14ac:dyDescent="0.3">
      <c r="F261" s="3">
        <f t="shared" si="26"/>
        <v>22</v>
      </c>
      <c r="G261" s="3">
        <v>48</v>
      </c>
      <c r="H261" s="3">
        <v>0</v>
      </c>
      <c r="I261" s="7">
        <f t="shared" si="24"/>
        <v>22.8</v>
      </c>
      <c r="J261" s="5">
        <f t="shared" si="23"/>
        <v>342</v>
      </c>
      <c r="K261" s="3"/>
      <c r="L261" s="3"/>
      <c r="M261" s="3"/>
      <c r="N261" s="11">
        <f t="shared" si="25"/>
        <v>59.169238757927403</v>
      </c>
    </row>
    <row r="262" spans="6:14" x14ac:dyDescent="0.3">
      <c r="F262" s="3">
        <f t="shared" si="26"/>
        <v>22</v>
      </c>
      <c r="G262" s="3">
        <v>52</v>
      </c>
      <c r="H262" s="3">
        <v>0</v>
      </c>
      <c r="I262" s="7">
        <f t="shared" si="24"/>
        <v>22.866666666666667</v>
      </c>
      <c r="J262" s="5">
        <f t="shared" si="23"/>
        <v>343</v>
      </c>
      <c r="K262" s="3"/>
      <c r="L262" s="3"/>
      <c r="M262" s="3"/>
      <c r="N262" s="11">
        <f t="shared" si="25"/>
        <v>59.426395521676618</v>
      </c>
    </row>
    <row r="263" spans="6:14" x14ac:dyDescent="0.3">
      <c r="F263" s="3">
        <f t="shared" si="26"/>
        <v>22</v>
      </c>
      <c r="G263" s="3">
        <v>56</v>
      </c>
      <c r="H263" s="3">
        <v>0</v>
      </c>
      <c r="I263" s="7">
        <f t="shared" si="24"/>
        <v>22.933333333333334</v>
      </c>
      <c r="J263" s="5">
        <f t="shared" si="23"/>
        <v>344</v>
      </c>
      <c r="K263" s="3"/>
      <c r="L263" s="3"/>
      <c r="M263" s="3"/>
      <c r="N263" s="11">
        <f t="shared" si="25"/>
        <v>59.672172737609095</v>
      </c>
    </row>
    <row r="264" spans="6:14" x14ac:dyDescent="0.3">
      <c r="F264" s="3">
        <f t="shared" si="26"/>
        <v>23</v>
      </c>
      <c r="G264" s="3">
        <v>0</v>
      </c>
      <c r="H264" s="3">
        <v>0</v>
      </c>
      <c r="I264" s="7">
        <f t="shared" si="24"/>
        <v>23</v>
      </c>
      <c r="J264" s="5">
        <f t="shared" si="23"/>
        <v>345</v>
      </c>
      <c r="K264" s="3"/>
      <c r="L264" s="3"/>
      <c r="M264" s="3"/>
      <c r="N264" s="11">
        <f t="shared" si="25"/>
        <v>59.90689893026105</v>
      </c>
    </row>
    <row r="265" spans="6:14" x14ac:dyDescent="0.3">
      <c r="F265" s="3">
        <f t="shared" si="26"/>
        <v>23</v>
      </c>
      <c r="G265" s="3">
        <v>4</v>
      </c>
      <c r="H265" s="3">
        <v>0</v>
      </c>
      <c r="I265" s="7">
        <f t="shared" si="24"/>
        <v>23.066666666666666</v>
      </c>
      <c r="J265" s="5">
        <f t="shared" ref="J265:J328" si="27">((((H265/60)+G265)/60)+F265)*15</f>
        <v>346</v>
      </c>
      <c r="K265" s="3"/>
      <c r="L265" s="3"/>
      <c r="M265" s="3"/>
      <c r="N265" s="11">
        <f t="shared" si="25"/>
        <v>60.130884916533709</v>
      </c>
    </row>
    <row r="266" spans="6:14" x14ac:dyDescent="0.3">
      <c r="F266" s="3">
        <f t="shared" si="26"/>
        <v>23</v>
      </c>
      <c r="G266" s="3">
        <v>8</v>
      </c>
      <c r="H266" s="3">
        <v>0</v>
      </c>
      <c r="I266" s="7">
        <f t="shared" si="24"/>
        <v>23.133333333333333</v>
      </c>
      <c r="J266" s="5">
        <f t="shared" si="27"/>
        <v>347</v>
      </c>
      <c r="K266" s="3"/>
      <c r="L266" s="3"/>
      <c r="M266" s="3"/>
      <c r="N266" s="11">
        <f t="shared" si="25"/>
        <v>60.344424564214385</v>
      </c>
    </row>
    <row r="267" spans="6:14" x14ac:dyDescent="0.3">
      <c r="F267" s="3">
        <f t="shared" si="26"/>
        <v>23</v>
      </c>
      <c r="G267" s="3">
        <v>12</v>
      </c>
      <c r="H267" s="3">
        <v>0</v>
      </c>
      <c r="I267" s="7">
        <f t="shared" si="24"/>
        <v>23.2</v>
      </c>
      <c r="J267" s="5">
        <f t="shared" si="27"/>
        <v>348</v>
      </c>
      <c r="K267" s="3"/>
      <c r="L267" s="3"/>
      <c r="M267" s="3"/>
      <c r="N267" s="11">
        <f t="shared" si="25"/>
        <v>60.547795510809955</v>
      </c>
    </row>
    <row r="268" spans="6:14" x14ac:dyDescent="0.3">
      <c r="F268" s="3">
        <f t="shared" si="26"/>
        <v>23</v>
      </c>
      <c r="G268" s="3">
        <v>16</v>
      </c>
      <c r="H268" s="3">
        <v>0</v>
      </c>
      <c r="I268" s="7">
        <f t="shared" si="24"/>
        <v>23.266666666666666</v>
      </c>
      <c r="J268" s="5">
        <f t="shared" si="27"/>
        <v>349</v>
      </c>
      <c r="K268" s="3"/>
      <c r="L268" s="3"/>
      <c r="M268" s="3"/>
      <c r="N268" s="11">
        <f t="shared" si="25"/>
        <v>60.741259843594541</v>
      </c>
    </row>
    <row r="269" spans="6:14" x14ac:dyDescent="0.3">
      <c r="F269" s="3">
        <f t="shared" si="26"/>
        <v>23</v>
      </c>
      <c r="G269" s="3">
        <v>20</v>
      </c>
      <c r="H269" s="3">
        <v>0</v>
      </c>
      <c r="I269" s="7">
        <f t="shared" si="24"/>
        <v>23.333333333333332</v>
      </c>
      <c r="J269" s="5">
        <f t="shared" si="27"/>
        <v>350</v>
      </c>
      <c r="K269" s="3"/>
      <c r="L269" s="3"/>
      <c r="M269" s="3"/>
      <c r="N269" s="11">
        <f t="shared" si="25"/>
        <v>60.92506474188869</v>
      </c>
    </row>
    <row r="270" spans="6:14" x14ac:dyDescent="0.3">
      <c r="F270" s="3">
        <f t="shared" si="26"/>
        <v>23</v>
      </c>
      <c r="G270" s="3">
        <v>24</v>
      </c>
      <c r="H270" s="3">
        <v>0</v>
      </c>
      <c r="I270" s="7">
        <f t="shared" si="24"/>
        <v>23.4</v>
      </c>
      <c r="J270" s="5">
        <f t="shared" si="27"/>
        <v>351</v>
      </c>
      <c r="K270" s="3"/>
      <c r="L270" s="3"/>
      <c r="M270" s="3"/>
      <c r="N270" s="11">
        <f t="shared" si="25"/>
        <v>61.099443082668344</v>
      </c>
    </row>
    <row r="271" spans="6:14" x14ac:dyDescent="0.3">
      <c r="F271" s="3">
        <f t="shared" si="26"/>
        <v>23</v>
      </c>
      <c r="G271" s="3">
        <v>28</v>
      </c>
      <c r="H271" s="3">
        <v>0</v>
      </c>
      <c r="I271" s="7">
        <f t="shared" si="24"/>
        <v>23.466666666666665</v>
      </c>
      <c r="J271" s="5">
        <f t="shared" si="27"/>
        <v>352</v>
      </c>
      <c r="K271" s="3"/>
      <c r="L271" s="3"/>
      <c r="M271" s="3"/>
      <c r="N271" s="11">
        <f t="shared" si="25"/>
        <v>61.264614010653375</v>
      </c>
    </row>
    <row r="272" spans="6:14" x14ac:dyDescent="0.3">
      <c r="F272" s="3">
        <f t="shared" si="26"/>
        <v>23</v>
      </c>
      <c r="G272" s="3">
        <v>32</v>
      </c>
      <c r="H272" s="3">
        <v>0</v>
      </c>
      <c r="I272" s="7">
        <f t="shared" si="24"/>
        <v>23.533333333333335</v>
      </c>
      <c r="J272" s="5">
        <f t="shared" si="27"/>
        <v>353</v>
      </c>
      <c r="K272" s="3"/>
      <c r="L272" s="3"/>
      <c r="M272" s="3"/>
      <c r="N272" s="11">
        <f t="shared" si="25"/>
        <v>61.420783474052747</v>
      </c>
    </row>
    <row r="273" spans="6:14" x14ac:dyDescent="0.3">
      <c r="F273" s="3">
        <f t="shared" si="26"/>
        <v>23</v>
      </c>
      <c r="G273" s="3">
        <v>36</v>
      </c>
      <c r="H273" s="3">
        <v>0</v>
      </c>
      <c r="I273" s="7">
        <f t="shared" si="24"/>
        <v>23.6</v>
      </c>
      <c r="J273" s="5">
        <f t="shared" si="27"/>
        <v>354</v>
      </c>
      <c r="K273" s="3"/>
      <c r="L273" s="3"/>
      <c r="M273" s="3"/>
      <c r="N273" s="11">
        <f t="shared" si="25"/>
        <v>61.568144727151342</v>
      </c>
    </row>
    <row r="274" spans="6:14" x14ac:dyDescent="0.3">
      <c r="F274" s="3">
        <f t="shared" si="26"/>
        <v>23</v>
      </c>
      <c r="G274" s="3">
        <v>40</v>
      </c>
      <c r="H274" s="3">
        <v>0</v>
      </c>
      <c r="I274" s="7">
        <f t="shared" si="24"/>
        <v>23.666666666666668</v>
      </c>
      <c r="J274" s="5">
        <f t="shared" si="27"/>
        <v>355</v>
      </c>
      <c r="K274" s="3"/>
      <c r="L274" s="3"/>
      <c r="M274" s="3"/>
      <c r="N274" s="11">
        <f t="shared" si="25"/>
        <v>61.706878800915106</v>
      </c>
    </row>
    <row r="275" spans="6:14" x14ac:dyDescent="0.3">
      <c r="F275" s="3">
        <f t="shared" si="26"/>
        <v>23</v>
      </c>
      <c r="G275" s="3">
        <v>44</v>
      </c>
      <c r="H275" s="3">
        <v>0</v>
      </c>
      <c r="I275" s="7">
        <f t="shared" si="24"/>
        <v>23.733333333333334</v>
      </c>
      <c r="J275" s="5">
        <f t="shared" si="27"/>
        <v>356</v>
      </c>
      <c r="K275" s="3"/>
      <c r="L275" s="3"/>
      <c r="M275" s="3"/>
      <c r="N275" s="11">
        <f t="shared" si="25"/>
        <v>61.837154942770553</v>
      </c>
    </row>
    <row r="276" spans="6:14" x14ac:dyDescent="0.3">
      <c r="F276" s="3">
        <f t="shared" si="26"/>
        <v>23</v>
      </c>
      <c r="G276" s="3">
        <v>48</v>
      </c>
      <c r="H276" s="3">
        <v>0</v>
      </c>
      <c r="I276" s="7">
        <f t="shared" si="24"/>
        <v>23.8</v>
      </c>
      <c r="J276" s="5">
        <f t="shared" si="27"/>
        <v>357</v>
      </c>
      <c r="K276" s="3"/>
      <c r="L276" s="3"/>
      <c r="M276" s="3"/>
      <c r="N276" s="11">
        <f t="shared" si="25"/>
        <v>61.959131026682897</v>
      </c>
    </row>
    <row r="277" spans="6:14" x14ac:dyDescent="0.3">
      <c r="F277" s="3">
        <f t="shared" si="26"/>
        <v>23</v>
      </c>
      <c r="G277" s="3">
        <v>52</v>
      </c>
      <c r="H277" s="3">
        <v>0</v>
      </c>
      <c r="I277" s="7">
        <f t="shared" si="24"/>
        <v>23.866666666666667</v>
      </c>
      <c r="J277" s="5">
        <f t="shared" si="27"/>
        <v>358</v>
      </c>
      <c r="K277" s="3"/>
      <c r="L277" s="3"/>
      <c r="M277" s="3"/>
      <c r="N277" s="11">
        <f t="shared" si="25"/>
        <v>62.072953934617928</v>
      </c>
    </row>
    <row r="278" spans="6:14" x14ac:dyDescent="0.3">
      <c r="F278" s="3">
        <f t="shared" si="26"/>
        <v>23</v>
      </c>
      <c r="G278" s="3">
        <v>56</v>
      </c>
      <c r="H278" s="3">
        <v>0</v>
      </c>
      <c r="I278" s="7">
        <f t="shared" si="24"/>
        <v>23.933333333333334</v>
      </c>
      <c r="J278" s="5">
        <f t="shared" si="27"/>
        <v>359</v>
      </c>
      <c r="K278" s="3"/>
      <c r="L278" s="3"/>
      <c r="M278" s="3"/>
      <c r="N278" s="11">
        <f t="shared" si="25"/>
        <v>62.178759910426976</v>
      </c>
    </row>
    <row r="279" spans="6:14" x14ac:dyDescent="0.3">
      <c r="F279" s="3">
        <v>0</v>
      </c>
      <c r="G279" s="3">
        <v>0</v>
      </c>
      <c r="H279" s="3">
        <v>0</v>
      </c>
      <c r="I279" s="7">
        <f t="shared" si="24"/>
        <v>0</v>
      </c>
      <c r="J279" s="5">
        <f t="shared" si="27"/>
        <v>0</v>
      </c>
      <c r="K279" s="3"/>
      <c r="L279" s="3"/>
      <c r="M279" s="3"/>
      <c r="N279" s="11">
        <f t="shared" si="25"/>
        <v>62.276674887143415</v>
      </c>
    </row>
    <row r="280" spans="6:14" x14ac:dyDescent="0.3">
      <c r="F280" s="3">
        <v>0</v>
      </c>
      <c r="G280" s="3">
        <v>4</v>
      </c>
      <c r="H280" s="3">
        <v>0</v>
      </c>
      <c r="I280" s="7">
        <f t="shared" si="24"/>
        <v>6.6666666666666666E-2</v>
      </c>
      <c r="J280" s="5">
        <f t="shared" si="27"/>
        <v>1</v>
      </c>
      <c r="K280" s="3"/>
      <c r="L280" s="3"/>
      <c r="M280" s="3"/>
      <c r="N280" s="11">
        <f t="shared" si="25"/>
        <v>62.366814788624716</v>
      </c>
    </row>
    <row r="281" spans="6:14" x14ac:dyDescent="0.3">
      <c r="F281" s="3">
        <v>0</v>
      </c>
      <c r="G281" s="3">
        <v>8</v>
      </c>
      <c r="H281" s="3">
        <v>0</v>
      </c>
      <c r="I281" s="7">
        <f t="shared" ref="I281:I344" si="28">(((H281/60)+G281)/60)+F281</f>
        <v>0.13333333333333333</v>
      </c>
      <c r="J281" s="5">
        <f t="shared" si="27"/>
        <v>2</v>
      </c>
      <c r="K281" s="3"/>
      <c r="L281" s="3"/>
      <c r="M281" s="3"/>
      <c r="N281" s="11">
        <f t="shared" ref="N281:N344" si="29">DEGREES(ATAN(-(COS(RADIANS($S$6))/SIN(RADIANS($S$6)))*COS(RADIANS(J281-$S$7))))</f>
        <v>62.449285806417073</v>
      </c>
    </row>
    <row r="282" spans="6:14" x14ac:dyDescent="0.3">
      <c r="F282" s="3">
        <v>0</v>
      </c>
      <c r="G282" s="3">
        <v>12</v>
      </c>
      <c r="H282" s="3">
        <v>0</v>
      </c>
      <c r="I282" s="7">
        <f t="shared" si="28"/>
        <v>0.2</v>
      </c>
      <c r="J282" s="5">
        <f t="shared" si="27"/>
        <v>3</v>
      </c>
      <c r="K282" s="3"/>
      <c r="L282" s="3"/>
      <c r="M282" s="3"/>
      <c r="N282" s="11">
        <f t="shared" si="29"/>
        <v>62.524184652660146</v>
      </c>
    </row>
    <row r="283" spans="6:14" x14ac:dyDescent="0.3">
      <c r="F283" s="3">
        <v>0</v>
      </c>
      <c r="G283" s="3">
        <v>16</v>
      </c>
      <c r="H283" s="3">
        <v>0</v>
      </c>
      <c r="I283" s="7">
        <f t="shared" si="28"/>
        <v>0.26666666666666666</v>
      </c>
      <c r="J283" s="5">
        <f t="shared" si="27"/>
        <v>4</v>
      </c>
      <c r="K283" s="3"/>
      <c r="L283" s="3"/>
      <c r="M283" s="3"/>
      <c r="N283" s="11">
        <f t="shared" si="29"/>
        <v>62.591598789789167</v>
      </c>
    </row>
    <row r="284" spans="6:14" x14ac:dyDescent="0.3">
      <c r="F284" s="3">
        <v>0</v>
      </c>
      <c r="G284" s="3">
        <v>20</v>
      </c>
      <c r="H284" s="3">
        <v>0</v>
      </c>
      <c r="I284" s="7">
        <f t="shared" si="28"/>
        <v>0.33333333333333331</v>
      </c>
      <c r="J284" s="5">
        <f t="shared" si="27"/>
        <v>5</v>
      </c>
      <c r="K284" s="3"/>
      <c r="L284" s="3"/>
      <c r="M284" s="3"/>
      <c r="N284" s="11">
        <f t="shared" si="29"/>
        <v>62.65160663773036</v>
      </c>
    </row>
    <row r="285" spans="6:14" x14ac:dyDescent="0.3">
      <c r="F285" s="3">
        <v>0</v>
      </c>
      <c r="G285" s="3">
        <v>24</v>
      </c>
      <c r="H285" s="3">
        <v>0</v>
      </c>
      <c r="I285" s="7">
        <f t="shared" si="28"/>
        <v>0.4</v>
      </c>
      <c r="J285" s="5">
        <f t="shared" si="27"/>
        <v>6</v>
      </c>
      <c r="K285" s="3"/>
      <c r="L285" s="3"/>
      <c r="M285" s="3"/>
      <c r="N285" s="11">
        <f t="shared" si="29"/>
        <v>62.704277759223373</v>
      </c>
    </row>
    <row r="286" spans="6:14" x14ac:dyDescent="0.3">
      <c r="F286" s="3">
        <v>0</v>
      </c>
      <c r="G286" s="3">
        <v>28</v>
      </c>
      <c r="H286" s="3">
        <v>0</v>
      </c>
      <c r="I286" s="7">
        <f t="shared" si="28"/>
        <v>0.46666666666666667</v>
      </c>
      <c r="J286" s="5">
        <f t="shared" si="27"/>
        <v>7</v>
      </c>
      <c r="K286" s="3"/>
      <c r="L286" s="3"/>
      <c r="M286" s="3"/>
      <c r="N286" s="11">
        <f t="shared" si="29"/>
        <v>62.749673023842782</v>
      </c>
    </row>
    <row r="287" spans="6:14" x14ac:dyDescent="0.3">
      <c r="F287" s="3">
        <v>0</v>
      </c>
      <c r="G287" s="3">
        <v>32</v>
      </c>
      <c r="H287" s="3">
        <v>0</v>
      </c>
      <c r="I287" s="7">
        <f t="shared" si="28"/>
        <v>0.53333333333333333</v>
      </c>
      <c r="J287" s="5">
        <f t="shared" si="27"/>
        <v>8</v>
      </c>
      <c r="K287" s="3"/>
      <c r="L287" s="3"/>
      <c r="M287" s="3"/>
      <c r="N287" s="11">
        <f t="shared" si="29"/>
        <v>62.787844751228619</v>
      </c>
    </row>
    <row r="288" spans="6:14" x14ac:dyDescent="0.3">
      <c r="F288" s="3">
        <v>0</v>
      </c>
      <c r="G288" s="3">
        <v>36</v>
      </c>
      <c r="H288" s="3">
        <v>0</v>
      </c>
      <c r="I288" s="7">
        <f t="shared" si="28"/>
        <v>0.6</v>
      </c>
      <c r="J288" s="5">
        <f t="shared" si="27"/>
        <v>9</v>
      </c>
      <c r="K288" s="3"/>
      <c r="L288" s="3"/>
      <c r="M288" s="3"/>
      <c r="N288" s="11">
        <f t="shared" si="29"/>
        <v>62.818836833973599</v>
      </c>
    </row>
    <row r="289" spans="6:14" x14ac:dyDescent="0.3">
      <c r="F289" s="3">
        <v>0</v>
      </c>
      <c r="G289" s="3">
        <v>40</v>
      </c>
      <c r="H289" s="3">
        <v>0</v>
      </c>
      <c r="I289" s="7">
        <f t="shared" si="28"/>
        <v>0.66666666666666663</v>
      </c>
      <c r="J289" s="5">
        <f t="shared" si="27"/>
        <v>10</v>
      </c>
      <c r="K289" s="3"/>
      <c r="L289" s="3"/>
      <c r="M289" s="3"/>
      <c r="N289" s="11">
        <f t="shared" si="29"/>
        <v>62.842684840553723</v>
      </c>
    </row>
    <row r="290" spans="6:14" x14ac:dyDescent="0.3">
      <c r="F290" s="3">
        <v>0</v>
      </c>
      <c r="G290" s="3">
        <v>44</v>
      </c>
      <c r="H290" s="3">
        <v>0</v>
      </c>
      <c r="I290" s="7">
        <f t="shared" si="28"/>
        <v>0.73333333333333328</v>
      </c>
      <c r="J290" s="5">
        <f t="shared" si="27"/>
        <v>11</v>
      </c>
      <c r="K290" s="3"/>
      <c r="L290" s="3"/>
      <c r="M290" s="3"/>
      <c r="N290" s="11">
        <f t="shared" si="29"/>
        <v>62.859416098626816</v>
      </c>
    </row>
    <row r="291" spans="6:14" x14ac:dyDescent="0.3">
      <c r="F291" s="3">
        <v>0</v>
      </c>
      <c r="G291" s="3">
        <v>48</v>
      </c>
      <c r="H291" s="3">
        <v>0</v>
      </c>
      <c r="I291" s="7">
        <f t="shared" si="28"/>
        <v>0.8</v>
      </c>
      <c r="J291" s="5">
        <f t="shared" si="27"/>
        <v>12</v>
      </c>
      <c r="K291" s="3"/>
      <c r="L291" s="3"/>
      <c r="M291" s="3"/>
      <c r="N291" s="11">
        <f t="shared" si="29"/>
        <v>62.869049758963108</v>
      </c>
    </row>
    <row r="292" spans="6:14" x14ac:dyDescent="0.3">
      <c r="F292" s="3">
        <v>0</v>
      </c>
      <c r="G292" s="3">
        <v>52</v>
      </c>
      <c r="H292" s="3">
        <v>0</v>
      </c>
      <c r="I292" s="7">
        <f t="shared" si="28"/>
        <v>0.8666666666666667</v>
      </c>
      <c r="J292" s="5">
        <f t="shared" si="27"/>
        <v>13</v>
      </c>
      <c r="K292" s="3"/>
      <c r="L292" s="3"/>
      <c r="M292" s="3"/>
      <c r="N292" s="11">
        <f t="shared" si="29"/>
        <v>62.871596840210778</v>
      </c>
    </row>
    <row r="293" spans="6:14" x14ac:dyDescent="0.3">
      <c r="F293" s="3">
        <v>0</v>
      </c>
      <c r="G293" s="3">
        <v>56</v>
      </c>
      <c r="H293" s="3">
        <v>0</v>
      </c>
      <c r="I293" s="7">
        <f t="shared" si="28"/>
        <v>0.93333333333333335</v>
      </c>
      <c r="J293" s="5">
        <f t="shared" si="27"/>
        <v>14</v>
      </c>
      <c r="K293" s="3"/>
      <c r="L293" s="3"/>
      <c r="M293" s="3"/>
      <c r="N293" s="11">
        <f t="shared" si="29"/>
        <v>62.867060254638822</v>
      </c>
    </row>
    <row r="294" spans="6:14" x14ac:dyDescent="0.3">
      <c r="F294" s="3">
        <f>1+F279</f>
        <v>1</v>
      </c>
      <c r="G294" s="3">
        <v>0</v>
      </c>
      <c r="H294" s="3">
        <v>0</v>
      </c>
      <c r="I294" s="7">
        <f t="shared" si="28"/>
        <v>1</v>
      </c>
      <c r="J294" s="5">
        <f t="shared" si="27"/>
        <v>15</v>
      </c>
      <c r="K294" s="3"/>
      <c r="L294" s="3"/>
      <c r="M294" s="3"/>
      <c r="N294" s="11">
        <f t="shared" si="29"/>
        <v>62.855434814939372</v>
      </c>
    </row>
    <row r="295" spans="6:14" x14ac:dyDescent="0.3">
      <c r="F295" s="3">
        <f t="shared" ref="F295:F358" si="30">1+F280</f>
        <v>1</v>
      </c>
      <c r="G295" s="3">
        <v>4</v>
      </c>
      <c r="H295" s="3">
        <v>0</v>
      </c>
      <c r="I295" s="7">
        <f t="shared" si="28"/>
        <v>1.0666666666666667</v>
      </c>
      <c r="J295" s="5">
        <f t="shared" si="27"/>
        <v>16</v>
      </c>
      <c r="K295" s="3"/>
      <c r="L295" s="3"/>
      <c r="M295" s="3"/>
      <c r="N295" s="11">
        <f t="shared" si="29"/>
        <v>62.836707222111023</v>
      </c>
    </row>
    <row r="296" spans="6:14" x14ac:dyDescent="0.3">
      <c r="F296" s="3">
        <f t="shared" si="30"/>
        <v>1</v>
      </c>
      <c r="G296" s="3">
        <v>8</v>
      </c>
      <c r="H296" s="3">
        <v>0</v>
      </c>
      <c r="I296" s="7">
        <f t="shared" si="28"/>
        <v>1.1333333333333333</v>
      </c>
      <c r="J296" s="5">
        <f t="shared" si="27"/>
        <v>17</v>
      </c>
      <c r="K296" s="3"/>
      <c r="L296" s="3"/>
      <c r="M296" s="3"/>
      <c r="N296" s="11">
        <f t="shared" si="29"/>
        <v>62.810856034384635</v>
      </c>
    </row>
    <row r="297" spans="6:14" x14ac:dyDescent="0.3">
      <c r="F297" s="3">
        <f t="shared" si="30"/>
        <v>1</v>
      </c>
      <c r="G297" s="3">
        <v>12</v>
      </c>
      <c r="H297" s="3">
        <v>0</v>
      </c>
      <c r="I297" s="7">
        <f t="shared" si="28"/>
        <v>1.2</v>
      </c>
      <c r="J297" s="5">
        <f t="shared" si="27"/>
        <v>18</v>
      </c>
      <c r="K297" s="3"/>
      <c r="L297" s="3"/>
      <c r="M297" s="3"/>
      <c r="N297" s="11">
        <f t="shared" si="29"/>
        <v>62.777851617092573</v>
      </c>
    </row>
    <row r="298" spans="6:14" x14ac:dyDescent="0.3">
      <c r="F298" s="3">
        <f t="shared" si="30"/>
        <v>1</v>
      </c>
      <c r="G298" s="3">
        <v>16</v>
      </c>
      <c r="H298" s="3">
        <v>0</v>
      </c>
      <c r="I298" s="7">
        <f t="shared" si="28"/>
        <v>1.2666666666666666</v>
      </c>
      <c r="J298" s="5">
        <f t="shared" si="27"/>
        <v>19</v>
      </c>
      <c r="K298" s="3"/>
      <c r="L298" s="3"/>
      <c r="M298" s="3"/>
      <c r="N298" s="11">
        <f t="shared" si="29"/>
        <v>62.737656073322178</v>
      </c>
    </row>
    <row r="299" spans="6:14" x14ac:dyDescent="0.3">
      <c r="F299" s="3">
        <f t="shared" si="30"/>
        <v>1</v>
      </c>
      <c r="G299" s="3">
        <v>20</v>
      </c>
      <c r="H299" s="3">
        <v>0</v>
      </c>
      <c r="I299" s="7">
        <f t="shared" si="28"/>
        <v>1.3333333333333333</v>
      </c>
      <c r="J299" s="5">
        <f t="shared" si="27"/>
        <v>20</v>
      </c>
      <c r="K299" s="3"/>
      <c r="L299" s="3"/>
      <c r="M299" s="3"/>
      <c r="N299" s="11">
        <f t="shared" si="29"/>
        <v>62.69022315513304</v>
      </c>
    </row>
    <row r="300" spans="6:14" x14ac:dyDescent="0.3">
      <c r="F300" s="3">
        <f t="shared" si="30"/>
        <v>1</v>
      </c>
      <c r="G300" s="3">
        <v>24</v>
      </c>
      <c r="H300" s="3">
        <v>0</v>
      </c>
      <c r="I300" s="7">
        <f t="shared" si="28"/>
        <v>1.4</v>
      </c>
      <c r="J300" s="5">
        <f t="shared" si="27"/>
        <v>21</v>
      </c>
      <c r="K300" s="3"/>
      <c r="L300" s="3"/>
      <c r="M300" s="3"/>
      <c r="N300" s="11">
        <f t="shared" si="29"/>
        <v>62.635498155057469</v>
      </c>
    </row>
    <row r="301" spans="6:14" x14ac:dyDescent="0.3">
      <c r="F301" s="3">
        <f t="shared" si="30"/>
        <v>1</v>
      </c>
      <c r="G301" s="3">
        <v>28</v>
      </c>
      <c r="H301" s="3">
        <v>0</v>
      </c>
      <c r="I301" s="7">
        <f t="shared" si="28"/>
        <v>1.4666666666666668</v>
      </c>
      <c r="J301" s="5">
        <f t="shared" si="27"/>
        <v>22</v>
      </c>
      <c r="K301" s="3"/>
      <c r="L301" s="3"/>
      <c r="M301" s="3"/>
      <c r="N301" s="11">
        <f t="shared" si="29"/>
        <v>62.573417777541721</v>
      </c>
    </row>
    <row r="302" spans="6:14" x14ac:dyDescent="0.3">
      <c r="F302" s="3">
        <f t="shared" si="30"/>
        <v>1</v>
      </c>
      <c r="G302" s="3">
        <v>32</v>
      </c>
      <c r="H302" s="3">
        <v>0</v>
      </c>
      <c r="I302" s="7">
        <f t="shared" si="28"/>
        <v>1.5333333333333332</v>
      </c>
      <c r="J302" s="5">
        <f t="shared" si="27"/>
        <v>23</v>
      </c>
      <c r="K302" s="3"/>
      <c r="L302" s="3"/>
      <c r="M302" s="3"/>
      <c r="N302" s="11">
        <f t="shared" si="29"/>
        <v>62.503909989924722</v>
      </c>
    </row>
    <row r="303" spans="6:14" x14ac:dyDescent="0.3">
      <c r="F303" s="3">
        <f t="shared" si="30"/>
        <v>1</v>
      </c>
      <c r="G303" s="3">
        <v>36</v>
      </c>
      <c r="H303" s="3">
        <v>0</v>
      </c>
      <c r="I303" s="7">
        <f t="shared" si="28"/>
        <v>1.6</v>
      </c>
      <c r="J303" s="5">
        <f t="shared" si="27"/>
        <v>24</v>
      </c>
      <c r="K303" s="3"/>
      <c r="L303" s="3"/>
      <c r="M303" s="3"/>
      <c r="N303" s="11">
        <f t="shared" si="29"/>
        <v>62.426893852488639</v>
      </c>
    </row>
    <row r="304" spans="6:14" x14ac:dyDescent="0.3">
      <c r="F304" s="3">
        <f t="shared" si="30"/>
        <v>1</v>
      </c>
      <c r="G304" s="3">
        <v>40</v>
      </c>
      <c r="H304" s="3">
        <v>0</v>
      </c>
      <c r="I304" s="7">
        <f t="shared" si="28"/>
        <v>1.6666666666666665</v>
      </c>
      <c r="J304" s="5">
        <f t="shared" si="27"/>
        <v>24.999999999999996</v>
      </c>
      <c r="K304" s="3"/>
      <c r="L304" s="3"/>
      <c r="M304" s="3"/>
      <c r="N304" s="11">
        <f t="shared" si="29"/>
        <v>62.342279327054179</v>
      </c>
    </row>
    <row r="305" spans="6:14" x14ac:dyDescent="0.3">
      <c r="F305" s="3">
        <f t="shared" si="30"/>
        <v>1</v>
      </c>
      <c r="G305" s="3">
        <v>44</v>
      </c>
      <c r="H305" s="3">
        <v>0</v>
      </c>
      <c r="I305" s="7">
        <f t="shared" si="28"/>
        <v>1.7333333333333334</v>
      </c>
      <c r="J305" s="5">
        <f t="shared" si="27"/>
        <v>26</v>
      </c>
      <c r="K305" s="3"/>
      <c r="L305" s="3"/>
      <c r="M305" s="3"/>
      <c r="N305" s="11">
        <f t="shared" si="29"/>
        <v>62.249967063531329</v>
      </c>
    </row>
    <row r="306" spans="6:14" x14ac:dyDescent="0.3">
      <c r="F306" s="3">
        <f t="shared" si="30"/>
        <v>1</v>
      </c>
      <c r="G306" s="3">
        <v>48</v>
      </c>
      <c r="H306" s="3">
        <v>0</v>
      </c>
      <c r="I306" s="7">
        <f t="shared" si="28"/>
        <v>1.8</v>
      </c>
      <c r="J306" s="5">
        <f t="shared" si="27"/>
        <v>27</v>
      </c>
      <c r="K306" s="3"/>
      <c r="L306" s="3"/>
      <c r="M306" s="3"/>
      <c r="N306" s="11">
        <f t="shared" si="29"/>
        <v>62.14984816377401</v>
      </c>
    </row>
    <row r="307" spans="6:14" x14ac:dyDescent="0.3">
      <c r="F307" s="3">
        <f t="shared" si="30"/>
        <v>1</v>
      </c>
      <c r="G307" s="3">
        <v>52</v>
      </c>
      <c r="H307" s="3">
        <v>0</v>
      </c>
      <c r="I307" s="7">
        <f t="shared" si="28"/>
        <v>1.8666666666666667</v>
      </c>
      <c r="J307" s="5">
        <f t="shared" si="27"/>
        <v>28</v>
      </c>
      <c r="K307" s="3"/>
      <c r="L307" s="3"/>
      <c r="M307" s="3"/>
      <c r="N307" s="11">
        <f t="shared" si="29"/>
        <v>62.041803922025728</v>
      </c>
    </row>
    <row r="308" spans="6:14" x14ac:dyDescent="0.3">
      <c r="F308" s="3">
        <f t="shared" si="30"/>
        <v>1</v>
      </c>
      <c r="G308" s="3">
        <v>56</v>
      </c>
      <c r="H308" s="3">
        <v>0</v>
      </c>
      <c r="I308" s="7">
        <f t="shared" si="28"/>
        <v>1.9333333333333333</v>
      </c>
      <c r="J308" s="5">
        <f t="shared" si="27"/>
        <v>29</v>
      </c>
      <c r="K308" s="3"/>
      <c r="L308" s="3"/>
      <c r="M308" s="3"/>
      <c r="N308" s="11">
        <f t="shared" si="29"/>
        <v>61.925705541181777</v>
      </c>
    </row>
    <row r="309" spans="6:14" x14ac:dyDescent="0.3">
      <c r="F309" s="3">
        <f>1+F294</f>
        <v>2</v>
      </c>
      <c r="G309" s="3">
        <v>0</v>
      </c>
      <c r="H309" s="3">
        <v>0</v>
      </c>
      <c r="I309" s="7">
        <f t="shared" si="28"/>
        <v>2</v>
      </c>
      <c r="J309" s="5">
        <f t="shared" si="27"/>
        <v>30</v>
      </c>
      <c r="K309" s="3"/>
      <c r="L309" s="3"/>
      <c r="M309" s="3"/>
      <c r="N309" s="11">
        <f t="shared" si="29"/>
        <v>61.801413824033617</v>
      </c>
    </row>
    <row r="310" spans="6:14" x14ac:dyDescent="0.3">
      <c r="F310" s="3">
        <f t="shared" si="30"/>
        <v>2</v>
      </c>
      <c r="G310" s="3">
        <v>4</v>
      </c>
      <c r="H310" s="3">
        <v>0</v>
      </c>
      <c r="I310" s="7">
        <f t="shared" si="28"/>
        <v>2.0666666666666669</v>
      </c>
      <c r="J310" s="5">
        <f t="shared" si="27"/>
        <v>31.000000000000004</v>
      </c>
      <c r="K310" s="3"/>
      <c r="L310" s="3"/>
      <c r="M310" s="3"/>
      <c r="N310" s="11">
        <f t="shared" si="29"/>
        <v>61.668778838602158</v>
      </c>
    </row>
    <row r="311" spans="6:14" x14ac:dyDescent="0.3">
      <c r="F311" s="3">
        <f t="shared" si="30"/>
        <v>2</v>
      </c>
      <c r="G311" s="3">
        <v>8</v>
      </c>
      <c r="H311" s="3">
        <v>0</v>
      </c>
      <c r="I311" s="7">
        <f t="shared" si="28"/>
        <v>2.1333333333333333</v>
      </c>
      <c r="J311" s="5">
        <f t="shared" si="27"/>
        <v>32</v>
      </c>
      <c r="K311" s="3"/>
      <c r="L311" s="3"/>
      <c r="M311" s="3"/>
      <c r="N311" s="11">
        <f t="shared" si="29"/>
        <v>61.527639556610431</v>
      </c>
    </row>
    <row r="312" spans="6:14" x14ac:dyDescent="0.3">
      <c r="F312" s="3">
        <f t="shared" si="30"/>
        <v>2</v>
      </c>
      <c r="G312" s="3">
        <v>12</v>
      </c>
      <c r="H312" s="3">
        <v>0</v>
      </c>
      <c r="I312" s="7">
        <f t="shared" si="28"/>
        <v>2.2000000000000002</v>
      </c>
      <c r="J312" s="5">
        <f t="shared" si="27"/>
        <v>33</v>
      </c>
      <c r="K312" s="3"/>
      <c r="L312" s="3"/>
      <c r="M312" s="3"/>
      <c r="N312" s="11">
        <f t="shared" si="29"/>
        <v>61.377823464092259</v>
      </c>
    </row>
    <row r="313" spans="6:14" x14ac:dyDescent="0.3">
      <c r="F313" s="3">
        <f t="shared" si="30"/>
        <v>2</v>
      </c>
      <c r="G313" s="3">
        <v>16</v>
      </c>
      <c r="H313" s="3">
        <v>0</v>
      </c>
      <c r="I313" s="7">
        <f t="shared" si="28"/>
        <v>2.2666666666666666</v>
      </c>
      <c r="J313" s="5">
        <f t="shared" si="27"/>
        <v>34</v>
      </c>
      <c r="K313" s="3"/>
      <c r="L313" s="3"/>
      <c r="M313" s="3"/>
      <c r="N313" s="11">
        <f t="shared" si="29"/>
        <v>61.21914614308438</v>
      </c>
    </row>
    <row r="314" spans="6:14" x14ac:dyDescent="0.3">
      <c r="F314" s="3">
        <f t="shared" si="30"/>
        <v>2</v>
      </c>
      <c r="G314" s="3">
        <v>20</v>
      </c>
      <c r="H314" s="3">
        <v>0</v>
      </c>
      <c r="I314" s="7">
        <f t="shared" si="28"/>
        <v>2.3333333333333335</v>
      </c>
      <c r="J314" s="5">
        <f t="shared" si="27"/>
        <v>35</v>
      </c>
      <c r="K314" s="3"/>
      <c r="L314" s="3"/>
      <c r="M314" s="3"/>
      <c r="N314" s="11">
        <f t="shared" si="29"/>
        <v>61.051410823305275</v>
      </c>
    </row>
    <row r="315" spans="6:14" x14ac:dyDescent="0.3">
      <c r="F315" s="3">
        <f t="shared" si="30"/>
        <v>2</v>
      </c>
      <c r="G315" s="3">
        <v>24</v>
      </c>
      <c r="H315" s="3">
        <v>0</v>
      </c>
      <c r="I315" s="7">
        <f t="shared" si="28"/>
        <v>2.4</v>
      </c>
      <c r="J315" s="5">
        <f t="shared" si="27"/>
        <v>36</v>
      </c>
      <c r="K315" s="3"/>
      <c r="L315" s="3"/>
      <c r="M315" s="3"/>
      <c r="N315" s="11">
        <f t="shared" si="29"/>
        <v>60.874407902686215</v>
      </c>
    </row>
    <row r="316" spans="6:14" x14ac:dyDescent="0.3">
      <c r="F316" s="3">
        <f t="shared" si="30"/>
        <v>2</v>
      </c>
      <c r="G316" s="3">
        <v>28</v>
      </c>
      <c r="H316" s="3">
        <v>0</v>
      </c>
      <c r="I316" s="7">
        <f t="shared" si="28"/>
        <v>2.4666666666666668</v>
      </c>
      <c r="J316" s="5">
        <f t="shared" si="27"/>
        <v>37</v>
      </c>
      <c r="K316" s="3"/>
      <c r="L316" s="3"/>
      <c r="M316" s="3"/>
      <c r="N316" s="11">
        <f t="shared" si="29"/>
        <v>60.687914435591935</v>
      </c>
    </row>
    <row r="317" spans="6:14" x14ac:dyDescent="0.3">
      <c r="F317" s="3">
        <f t="shared" si="30"/>
        <v>2</v>
      </c>
      <c r="G317" s="3">
        <v>32</v>
      </c>
      <c r="H317" s="3">
        <v>0</v>
      </c>
      <c r="I317" s="7">
        <f t="shared" si="28"/>
        <v>2.5333333333333332</v>
      </c>
      <c r="J317" s="5">
        <f t="shared" si="27"/>
        <v>38</v>
      </c>
      <c r="K317" s="3"/>
      <c r="L317" s="3"/>
      <c r="M317" s="3"/>
      <c r="N317" s="11">
        <f t="shared" si="29"/>
        <v>60.491693587550408</v>
      </c>
    </row>
    <row r="318" spans="6:14" x14ac:dyDescent="0.3">
      <c r="F318" s="3">
        <f t="shared" si="30"/>
        <v>2</v>
      </c>
      <c r="G318" s="3">
        <v>36</v>
      </c>
      <c r="H318" s="3">
        <v>0</v>
      </c>
      <c r="I318" s="7">
        <f t="shared" si="28"/>
        <v>2.6</v>
      </c>
      <c r="J318" s="5">
        <f t="shared" si="27"/>
        <v>39</v>
      </c>
      <c r="K318" s="3"/>
      <c r="L318" s="3"/>
      <c r="M318" s="3"/>
      <c r="N318" s="11">
        <f t="shared" si="29"/>
        <v>60.285494055307019</v>
      </c>
    </row>
    <row r="319" spans="6:14" x14ac:dyDescent="0.3">
      <c r="F319" s="3">
        <f t="shared" si="30"/>
        <v>2</v>
      </c>
      <c r="G319" s="3">
        <v>40</v>
      </c>
      <c r="H319" s="3">
        <v>0</v>
      </c>
      <c r="I319" s="7">
        <f t="shared" si="28"/>
        <v>2.6666666666666665</v>
      </c>
      <c r="J319" s="5">
        <f t="shared" si="27"/>
        <v>40</v>
      </c>
      <c r="K319" s="3"/>
      <c r="L319" s="3"/>
      <c r="M319" s="3"/>
      <c r="N319" s="11">
        <f t="shared" si="29"/>
        <v>60.069049451031795</v>
      </c>
    </row>
    <row r="320" spans="6:14" x14ac:dyDescent="0.3">
      <c r="F320" s="3">
        <f t="shared" si="30"/>
        <v>2</v>
      </c>
      <c r="G320" s="3">
        <v>44</v>
      </c>
      <c r="H320" s="3">
        <v>0</v>
      </c>
      <c r="I320" s="7">
        <f t="shared" si="28"/>
        <v>2.7333333333333334</v>
      </c>
      <c r="J320" s="5">
        <f t="shared" si="27"/>
        <v>41</v>
      </c>
      <c r="K320" s="3"/>
      <c r="L320" s="3"/>
      <c r="M320" s="3"/>
      <c r="N320" s="11">
        <f t="shared" si="29"/>
        <v>59.84207764954153</v>
      </c>
    </row>
    <row r="321" spans="6:14" x14ac:dyDescent="0.3">
      <c r="F321" s="3">
        <f t="shared" si="30"/>
        <v>2</v>
      </c>
      <c r="G321" s="3">
        <v>48</v>
      </c>
      <c r="H321" s="3">
        <v>0</v>
      </c>
      <c r="I321" s="7">
        <f t="shared" si="28"/>
        <v>2.8</v>
      </c>
      <c r="J321" s="5">
        <f t="shared" si="27"/>
        <v>42</v>
      </c>
      <c r="K321" s="3"/>
      <c r="L321" s="3"/>
      <c r="M321" s="3"/>
      <c r="N321" s="11">
        <f t="shared" si="29"/>
        <v>59.604280097458272</v>
      </c>
    </row>
    <row r="322" spans="6:14" x14ac:dyDescent="0.3">
      <c r="F322" s="3">
        <f t="shared" si="30"/>
        <v>2</v>
      </c>
      <c r="G322" s="3">
        <v>52</v>
      </c>
      <c r="H322" s="3">
        <v>0</v>
      </c>
      <c r="I322" s="7">
        <f t="shared" si="28"/>
        <v>2.8666666666666667</v>
      </c>
      <c r="J322" s="5">
        <f t="shared" si="27"/>
        <v>43</v>
      </c>
      <c r="K322" s="3"/>
      <c r="L322" s="3"/>
      <c r="M322" s="3"/>
      <c r="N322" s="11">
        <f t="shared" si="29"/>
        <v>59.355341083315253</v>
      </c>
    </row>
    <row r="323" spans="6:14" x14ac:dyDescent="0.3">
      <c r="F323" s="3">
        <f t="shared" si="30"/>
        <v>2</v>
      </c>
      <c r="G323" s="3">
        <v>56</v>
      </c>
      <c r="H323" s="3">
        <v>0</v>
      </c>
      <c r="I323" s="7">
        <f t="shared" si="28"/>
        <v>2.9333333333333336</v>
      </c>
      <c r="J323" s="5">
        <f t="shared" si="27"/>
        <v>44</v>
      </c>
      <c r="K323" s="3"/>
      <c r="L323" s="3"/>
      <c r="M323" s="3"/>
      <c r="N323" s="11">
        <f t="shared" si="29"/>
        <v>59.094926967748776</v>
      </c>
    </row>
    <row r="324" spans="6:14" x14ac:dyDescent="0.3">
      <c r="F324" s="3">
        <f>1+F309</f>
        <v>3</v>
      </c>
      <c r="G324" s="3">
        <v>0</v>
      </c>
      <c r="H324" s="3">
        <v>0</v>
      </c>
      <c r="I324" s="7">
        <f t="shared" si="28"/>
        <v>3</v>
      </c>
      <c r="J324" s="5">
        <f t="shared" si="27"/>
        <v>45</v>
      </c>
      <c r="K324" s="3"/>
      <c r="L324" s="3"/>
      <c r="M324" s="3"/>
      <c r="N324" s="11">
        <f t="shared" si="29"/>
        <v>58.822685373087253</v>
      </c>
    </row>
    <row r="325" spans="6:14" x14ac:dyDescent="0.3">
      <c r="F325" s="3">
        <f t="shared" si="30"/>
        <v>3</v>
      </c>
      <c r="G325" s="3">
        <v>4</v>
      </c>
      <c r="H325" s="3">
        <v>0</v>
      </c>
      <c r="I325" s="7">
        <f t="shared" si="28"/>
        <v>3.0666666666666669</v>
      </c>
      <c r="J325" s="5">
        <f t="shared" si="27"/>
        <v>46</v>
      </c>
      <c r="K325" s="3"/>
      <c r="L325" s="3"/>
      <c r="M325" s="3"/>
      <c r="N325" s="11">
        <f t="shared" si="29"/>
        <v>58.538244331874417</v>
      </c>
    </row>
    <row r="326" spans="6:14" x14ac:dyDescent="0.3">
      <c r="F326" s="3">
        <f t="shared" si="30"/>
        <v>3</v>
      </c>
      <c r="G326" s="3">
        <v>8</v>
      </c>
      <c r="H326" s="3">
        <v>0</v>
      </c>
      <c r="I326" s="7">
        <f t="shared" si="28"/>
        <v>3.1333333333333333</v>
      </c>
      <c r="J326" s="5">
        <f t="shared" si="27"/>
        <v>47</v>
      </c>
      <c r="K326" s="3"/>
      <c r="L326" s="3"/>
      <c r="M326" s="3"/>
      <c r="N326" s="11">
        <f t="shared" si="29"/>
        <v>58.24121139415513</v>
      </c>
    </row>
    <row r="327" spans="6:14" x14ac:dyDescent="0.3">
      <c r="F327" s="3">
        <f t="shared" si="30"/>
        <v>3</v>
      </c>
      <c r="G327" s="3">
        <v>12</v>
      </c>
      <c r="H327" s="3">
        <v>0</v>
      </c>
      <c r="I327" s="7">
        <f t="shared" si="28"/>
        <v>3.2</v>
      </c>
      <c r="J327" s="5">
        <f t="shared" si="27"/>
        <v>48</v>
      </c>
      <c r="K327" s="3"/>
      <c r="L327" s="3"/>
      <c r="M327" s="3"/>
      <c r="N327" s="11">
        <f t="shared" si="29"/>
        <v>57.931172693719994</v>
      </c>
    </row>
    <row r="328" spans="6:14" x14ac:dyDescent="0.3">
      <c r="F328" s="3">
        <f t="shared" si="30"/>
        <v>3</v>
      </c>
      <c r="G328" s="3">
        <v>16</v>
      </c>
      <c r="H328" s="3">
        <v>0</v>
      </c>
      <c r="I328" s="7">
        <f t="shared" si="28"/>
        <v>3.2666666666666666</v>
      </c>
      <c r="J328" s="5">
        <f t="shared" si="27"/>
        <v>49</v>
      </c>
      <c r="K328" s="3"/>
      <c r="L328" s="3"/>
      <c r="M328" s="3"/>
      <c r="N328" s="11">
        <f t="shared" si="29"/>
        <v>57.607691973964542</v>
      </c>
    </row>
    <row r="329" spans="6:14" x14ac:dyDescent="0.3">
      <c r="F329" s="3">
        <f t="shared" si="30"/>
        <v>3</v>
      </c>
      <c r="G329" s="3">
        <v>20</v>
      </c>
      <c r="H329" s="3">
        <v>0</v>
      </c>
      <c r="I329" s="7">
        <f t="shared" si="28"/>
        <v>3.3333333333333335</v>
      </c>
      <c r="J329" s="5">
        <f t="shared" ref="J329:J382" si="31">((((H329/60)+G329)/60)+F329)*15</f>
        <v>50</v>
      </c>
      <c r="K329" s="3"/>
      <c r="L329" s="3"/>
      <c r="M329" s="3"/>
      <c r="N329" s="11">
        <f t="shared" si="29"/>
        <v>57.270309574586499</v>
      </c>
    </row>
    <row r="330" spans="6:14" x14ac:dyDescent="0.3">
      <c r="F330" s="3">
        <f t="shared" si="30"/>
        <v>3</v>
      </c>
      <c r="G330" s="3">
        <v>24</v>
      </c>
      <c r="H330" s="3">
        <v>0</v>
      </c>
      <c r="I330" s="7">
        <f t="shared" si="28"/>
        <v>3.4</v>
      </c>
      <c r="J330" s="5">
        <f t="shared" si="31"/>
        <v>51</v>
      </c>
      <c r="K330" s="3"/>
      <c r="L330" s="3"/>
      <c r="M330" s="3"/>
      <c r="N330" s="11">
        <f t="shared" si="29"/>
        <v>56.918541381040335</v>
      </c>
    </row>
    <row r="331" spans="6:14" x14ac:dyDescent="0.3">
      <c r="F331" s="3">
        <f t="shared" si="30"/>
        <v>3</v>
      </c>
      <c r="G331" s="3">
        <v>28</v>
      </c>
      <c r="H331" s="3">
        <v>0</v>
      </c>
      <c r="I331" s="7">
        <f t="shared" si="28"/>
        <v>3.4666666666666668</v>
      </c>
      <c r="J331" s="5">
        <f t="shared" si="31"/>
        <v>52</v>
      </c>
      <c r="K331" s="3"/>
      <c r="L331" s="3"/>
      <c r="M331" s="3"/>
      <c r="N331" s="11">
        <f t="shared" si="29"/>
        <v>56.551877739515447</v>
      </c>
    </row>
    <row r="332" spans="6:14" x14ac:dyDescent="0.3">
      <c r="F332" s="3">
        <f t="shared" si="30"/>
        <v>3</v>
      </c>
      <c r="G332" s="3">
        <v>32</v>
      </c>
      <c r="H332" s="3">
        <v>0</v>
      </c>
      <c r="I332" s="7">
        <f t="shared" si="28"/>
        <v>3.5333333333333332</v>
      </c>
      <c r="J332" s="5">
        <f t="shared" si="31"/>
        <v>53</v>
      </c>
      <c r="K332" s="3"/>
      <c r="L332" s="3"/>
      <c r="M332" s="3"/>
      <c r="N332" s="11">
        <f t="shared" si="29"/>
        <v>56.169782341226899</v>
      </c>
    </row>
    <row r="333" spans="6:14" x14ac:dyDescent="0.3">
      <c r="F333" s="3">
        <f t="shared" si="30"/>
        <v>3</v>
      </c>
      <c r="G333" s="3">
        <v>36</v>
      </c>
      <c r="H333" s="3">
        <v>0</v>
      </c>
      <c r="I333" s="7">
        <f t="shared" si="28"/>
        <v>3.6</v>
      </c>
      <c r="J333" s="5">
        <f t="shared" si="31"/>
        <v>54</v>
      </c>
      <c r="K333" s="3"/>
      <c r="L333" s="3"/>
      <c r="M333" s="3"/>
      <c r="N333" s="11">
        <f t="shared" si="29"/>
        <v>55.771691081039002</v>
      </c>
    </row>
    <row r="334" spans="6:14" x14ac:dyDescent="0.3">
      <c r="F334" s="3">
        <f t="shared" si="30"/>
        <v>3</v>
      </c>
      <c r="G334" s="3">
        <v>40</v>
      </c>
      <c r="H334" s="3">
        <v>0</v>
      </c>
      <c r="I334" s="7">
        <f t="shared" si="28"/>
        <v>3.6666666666666665</v>
      </c>
      <c r="J334" s="5">
        <f t="shared" si="31"/>
        <v>55</v>
      </c>
      <c r="K334" s="3"/>
      <c r="L334" s="3"/>
      <c r="M334" s="3"/>
      <c r="N334" s="11">
        <f t="shared" si="29"/>
        <v>55.357010896913678</v>
      </c>
    </row>
    <row r="335" spans="6:14" x14ac:dyDescent="0.3">
      <c r="F335" s="3">
        <f t="shared" si="30"/>
        <v>3</v>
      </c>
      <c r="G335" s="3">
        <v>44</v>
      </c>
      <c r="H335" s="3">
        <v>0</v>
      </c>
      <c r="I335" s="7">
        <f t="shared" si="28"/>
        <v>3.7333333333333334</v>
      </c>
      <c r="J335" s="5">
        <f t="shared" si="31"/>
        <v>56</v>
      </c>
      <c r="K335" s="3"/>
      <c r="L335" s="3"/>
      <c r="M335" s="3"/>
      <c r="N335" s="11">
        <f t="shared" si="29"/>
        <v>54.925118598427964</v>
      </c>
    </row>
    <row r="336" spans="6:14" x14ac:dyDescent="0.3">
      <c r="F336" s="3">
        <f t="shared" si="30"/>
        <v>3</v>
      </c>
      <c r="G336" s="3">
        <v>48</v>
      </c>
      <c r="H336" s="3">
        <v>0</v>
      </c>
      <c r="I336" s="7">
        <f t="shared" si="28"/>
        <v>3.8</v>
      </c>
      <c r="J336" s="5">
        <f t="shared" si="31"/>
        <v>57</v>
      </c>
      <c r="K336" s="3"/>
      <c r="L336" s="3"/>
      <c r="M336" s="3"/>
      <c r="N336" s="11">
        <f t="shared" si="29"/>
        <v>54.475359694682979</v>
      </c>
    </row>
    <row r="337" spans="6:14" x14ac:dyDescent="0.3">
      <c r="F337" s="3">
        <f t="shared" si="30"/>
        <v>3</v>
      </c>
      <c r="G337" s="3">
        <v>52</v>
      </c>
      <c r="H337" s="3">
        <v>0</v>
      </c>
      <c r="I337" s="7">
        <f t="shared" si="28"/>
        <v>3.8666666666666667</v>
      </c>
      <c r="J337" s="5">
        <f t="shared" si="31"/>
        <v>58</v>
      </c>
      <c r="K337" s="3"/>
      <c r="L337" s="3"/>
      <c r="M337" s="3"/>
      <c r="N337" s="11">
        <f t="shared" si="29"/>
        <v>54.007047234378298</v>
      </c>
    </row>
    <row r="338" spans="6:14" x14ac:dyDescent="0.3">
      <c r="F338" s="3">
        <f t="shared" si="30"/>
        <v>3</v>
      </c>
      <c r="G338" s="3">
        <v>56</v>
      </c>
      <c r="H338" s="3">
        <v>0</v>
      </c>
      <c r="I338" s="7">
        <f t="shared" si="28"/>
        <v>3.9333333333333336</v>
      </c>
      <c r="J338" s="5">
        <f t="shared" si="31"/>
        <v>59</v>
      </c>
      <c r="K338" s="3"/>
      <c r="L338" s="3"/>
      <c r="M338" s="3"/>
      <c r="N338" s="11">
        <f t="shared" si="29"/>
        <v>53.519460673707556</v>
      </c>
    </row>
    <row r="339" spans="6:14" x14ac:dyDescent="0.3">
      <c r="F339" s="3">
        <f>1+F324</f>
        <v>4</v>
      </c>
      <c r="G339" s="3">
        <v>0</v>
      </c>
      <c r="H339" s="3">
        <v>0</v>
      </c>
      <c r="I339" s="7">
        <f t="shared" si="28"/>
        <v>4</v>
      </c>
      <c r="J339" s="5">
        <f t="shared" si="31"/>
        <v>60</v>
      </c>
      <c r="K339" s="3"/>
      <c r="L339" s="3"/>
      <c r="M339" s="3"/>
      <c r="N339" s="11">
        <f t="shared" si="29"/>
        <v>53.011844791102554</v>
      </c>
    </row>
    <row r="340" spans="6:14" x14ac:dyDescent="0.3">
      <c r="F340" s="3">
        <f t="shared" si="30"/>
        <v>4</v>
      </c>
      <c r="G340" s="3">
        <v>4</v>
      </c>
      <c r="H340" s="3">
        <v>0</v>
      </c>
      <c r="I340" s="7">
        <f t="shared" si="28"/>
        <v>4.0666666666666664</v>
      </c>
      <c r="J340" s="5">
        <f t="shared" si="31"/>
        <v>61</v>
      </c>
      <c r="K340" s="3"/>
      <c r="L340" s="3"/>
      <c r="M340" s="3"/>
      <c r="N340" s="11">
        <f t="shared" si="29"/>
        <v>52.483408671782058</v>
      </c>
    </row>
    <row r="341" spans="6:14" x14ac:dyDescent="0.3">
      <c r="F341" s="3">
        <f t="shared" si="30"/>
        <v>4</v>
      </c>
      <c r="G341" s="3">
        <v>8</v>
      </c>
      <c r="H341" s="3">
        <v>0</v>
      </c>
      <c r="I341" s="7">
        <f t="shared" si="28"/>
        <v>4.1333333333333337</v>
      </c>
      <c r="J341" s="5">
        <f t="shared" si="31"/>
        <v>62.000000000000007</v>
      </c>
      <c r="K341" s="3"/>
      <c r="L341" s="3"/>
      <c r="M341" s="3"/>
      <c r="N341" s="11">
        <f t="shared" si="29"/>
        <v>51.933324789614481</v>
      </c>
    </row>
    <row r="342" spans="6:14" x14ac:dyDescent="0.3">
      <c r="F342" s="3">
        <f t="shared" si="30"/>
        <v>4</v>
      </c>
      <c r="G342" s="3">
        <v>12</v>
      </c>
      <c r="H342" s="3">
        <v>0</v>
      </c>
      <c r="I342" s="7">
        <f t="shared" si="28"/>
        <v>4.2</v>
      </c>
      <c r="J342" s="5">
        <f t="shared" si="31"/>
        <v>63</v>
      </c>
      <c r="K342" s="3"/>
      <c r="L342" s="3"/>
      <c r="M342" s="3"/>
      <c r="N342" s="11">
        <f t="shared" si="29"/>
        <v>51.360728219058373</v>
      </c>
    </row>
    <row r="343" spans="6:14" x14ac:dyDescent="0.3">
      <c r="F343" s="3">
        <f t="shared" si="30"/>
        <v>4</v>
      </c>
      <c r="G343" s="3">
        <v>16</v>
      </c>
      <c r="H343" s="3">
        <v>0</v>
      </c>
      <c r="I343" s="7">
        <f t="shared" si="28"/>
        <v>4.2666666666666666</v>
      </c>
      <c r="J343" s="5">
        <f t="shared" si="31"/>
        <v>64</v>
      </c>
      <c r="K343" s="3"/>
      <c r="L343" s="3"/>
      <c r="M343" s="3"/>
      <c r="N343" s="11">
        <f t="shared" si="29"/>
        <v>50.764716015971324</v>
      </c>
    </row>
    <row r="344" spans="6:14" x14ac:dyDescent="0.3">
      <c r="F344" s="3">
        <f t="shared" si="30"/>
        <v>4</v>
      </c>
      <c r="G344" s="3">
        <v>20</v>
      </c>
      <c r="H344" s="3">
        <v>0</v>
      </c>
      <c r="I344" s="7">
        <f t="shared" si="28"/>
        <v>4.333333333333333</v>
      </c>
      <c r="J344" s="5">
        <f t="shared" si="31"/>
        <v>65</v>
      </c>
      <c r="K344" s="3"/>
      <c r="L344" s="3"/>
      <c r="M344" s="3"/>
      <c r="N344" s="11">
        <f t="shared" si="29"/>
        <v>50.144346812949685</v>
      </c>
    </row>
    <row r="345" spans="6:14" x14ac:dyDescent="0.3">
      <c r="F345" s="3">
        <f t="shared" si="30"/>
        <v>4</v>
      </c>
      <c r="G345" s="3">
        <v>24</v>
      </c>
      <c r="H345" s="3">
        <v>0</v>
      </c>
      <c r="I345" s="7">
        <f t="shared" ref="I345:I382" si="32">(((H345/60)+G345)/60)+F345</f>
        <v>4.4000000000000004</v>
      </c>
      <c r="J345" s="5">
        <f t="shared" si="31"/>
        <v>66</v>
      </c>
      <c r="K345" s="3"/>
      <c r="L345" s="3"/>
      <c r="M345" s="3"/>
      <c r="N345" s="11">
        <f t="shared" ref="N345:N382" si="33">DEGREES(ATAN(-(COS(RADIANS($S$6))/SIN(RADIANS($S$6)))*COS(RADIANS(J345-$S$7))))</f>
        <v>49.498640682644179</v>
      </c>
    </row>
    <row r="346" spans="6:14" x14ac:dyDescent="0.3">
      <c r="F346" s="3">
        <f t="shared" si="30"/>
        <v>4</v>
      </c>
      <c r="G346" s="3">
        <v>28</v>
      </c>
      <c r="H346" s="3">
        <v>0</v>
      </c>
      <c r="I346" s="7">
        <f t="shared" si="32"/>
        <v>4.4666666666666668</v>
      </c>
      <c r="J346" s="5">
        <f t="shared" si="31"/>
        <v>67</v>
      </c>
      <c r="K346" s="3"/>
      <c r="L346" s="3"/>
      <c r="M346" s="3"/>
      <c r="N346" s="11">
        <f t="shared" si="33"/>
        <v>48.826579331238072</v>
      </c>
    </row>
    <row r="347" spans="6:14" x14ac:dyDescent="0.3">
      <c r="F347" s="3">
        <f t="shared" si="30"/>
        <v>4</v>
      </c>
      <c r="G347" s="3">
        <v>32</v>
      </c>
      <c r="H347" s="3">
        <v>0</v>
      </c>
      <c r="I347" s="7">
        <f t="shared" si="32"/>
        <v>4.5333333333333332</v>
      </c>
      <c r="J347" s="5">
        <f t="shared" si="31"/>
        <v>68</v>
      </c>
      <c r="K347" s="3"/>
      <c r="L347" s="3"/>
      <c r="M347" s="3"/>
      <c r="N347" s="11">
        <f t="shared" si="33"/>
        <v>48.127106694008091</v>
      </c>
    </row>
    <row r="348" spans="6:14" x14ac:dyDescent="0.3">
      <c r="F348" s="3">
        <f t="shared" si="30"/>
        <v>4</v>
      </c>
      <c r="G348" s="3">
        <v>36</v>
      </c>
      <c r="H348" s="3">
        <v>0</v>
      </c>
      <c r="I348" s="7">
        <f t="shared" si="32"/>
        <v>4.5999999999999996</v>
      </c>
      <c r="J348" s="5">
        <f t="shared" si="31"/>
        <v>69</v>
      </c>
      <c r="K348" s="3"/>
      <c r="L348" s="3"/>
      <c r="M348" s="3"/>
      <c r="N348" s="11">
        <f t="shared" si="33"/>
        <v>47.399130015605202</v>
      </c>
    </row>
    <row r="349" spans="6:14" x14ac:dyDescent="0.3">
      <c r="F349" s="3">
        <f t="shared" si="30"/>
        <v>4</v>
      </c>
      <c r="G349" s="3">
        <v>40</v>
      </c>
      <c r="H349" s="3">
        <v>0</v>
      </c>
      <c r="I349" s="7">
        <f t="shared" si="32"/>
        <v>4.666666666666667</v>
      </c>
      <c r="J349" s="5">
        <f t="shared" si="31"/>
        <v>70</v>
      </c>
      <c r="K349" s="3"/>
      <c r="L349" s="3"/>
      <c r="M349" s="3"/>
      <c r="N349" s="11">
        <f t="shared" si="33"/>
        <v>46.641521509343946</v>
      </c>
    </row>
    <row r="350" spans="6:14" x14ac:dyDescent="0.3">
      <c r="F350" s="3">
        <f t="shared" si="30"/>
        <v>4</v>
      </c>
      <c r="G350" s="3">
        <v>44</v>
      </c>
      <c r="H350" s="3">
        <v>0</v>
      </c>
      <c r="I350" s="7">
        <f t="shared" si="32"/>
        <v>4.7333333333333334</v>
      </c>
      <c r="J350" s="5">
        <f t="shared" si="31"/>
        <v>71</v>
      </c>
      <c r="K350" s="3"/>
      <c r="L350" s="3"/>
      <c r="M350" s="3"/>
      <c r="N350" s="11">
        <f t="shared" si="33"/>
        <v>45.853120702251999</v>
      </c>
    </row>
    <row r="351" spans="6:14" x14ac:dyDescent="0.3">
      <c r="F351" s="3">
        <f t="shared" si="30"/>
        <v>4</v>
      </c>
      <c r="G351" s="3">
        <v>48</v>
      </c>
      <c r="H351" s="3">
        <v>0</v>
      </c>
      <c r="I351" s="7">
        <f t="shared" si="32"/>
        <v>4.8</v>
      </c>
      <c r="J351" s="5">
        <f t="shared" si="31"/>
        <v>72</v>
      </c>
      <c r="K351" s="3"/>
      <c r="L351" s="3"/>
      <c r="M351" s="3"/>
      <c r="N351" s="11">
        <f t="shared" si="33"/>
        <v>45.032737585699309</v>
      </c>
    </row>
    <row r="352" spans="6:14" x14ac:dyDescent="0.3">
      <c r="F352" s="3">
        <f t="shared" si="30"/>
        <v>4</v>
      </c>
      <c r="G352" s="3">
        <v>52</v>
      </c>
      <c r="H352" s="3">
        <v>0</v>
      </c>
      <c r="I352" s="7">
        <f t="shared" si="32"/>
        <v>4.8666666666666671</v>
      </c>
      <c r="J352" s="5">
        <f t="shared" si="31"/>
        <v>73</v>
      </c>
      <c r="K352" s="3"/>
      <c r="L352" s="3"/>
      <c r="M352" s="3"/>
      <c r="N352" s="11">
        <f t="shared" si="33"/>
        <v>44.179156704768694</v>
      </c>
    </row>
    <row r="353" spans="6:14" x14ac:dyDescent="0.3">
      <c r="F353" s="3">
        <f t="shared" si="30"/>
        <v>4</v>
      </c>
      <c r="G353" s="3">
        <v>56</v>
      </c>
      <c r="H353" s="3">
        <v>0</v>
      </c>
      <c r="I353" s="7">
        <f t="shared" si="32"/>
        <v>4.9333333333333336</v>
      </c>
      <c r="J353" s="5">
        <f>((((H353/60)+G353)/60)+F353)*15</f>
        <v>74</v>
      </c>
      <c r="K353" s="3"/>
      <c r="L353" s="3"/>
      <c r="M353" s="3"/>
      <c r="N353" s="11">
        <f t="shared" si="33"/>
        <v>43.291142332669878</v>
      </c>
    </row>
    <row r="354" spans="6:14" x14ac:dyDescent="0.3">
      <c r="F354" s="3">
        <f>1+F339</f>
        <v>5</v>
      </c>
      <c r="G354" s="3">
        <v>0</v>
      </c>
      <c r="H354" s="3">
        <v>0</v>
      </c>
      <c r="I354" s="7">
        <f t="shared" si="32"/>
        <v>5</v>
      </c>
      <c r="J354" s="5">
        <f t="shared" si="31"/>
        <v>75</v>
      </c>
      <c r="K354" s="3"/>
      <c r="L354" s="3"/>
      <c r="M354" s="3"/>
      <c r="N354" s="11">
        <f t="shared" si="33"/>
        <v>42.367444888770351</v>
      </c>
    </row>
    <row r="355" spans="6:14" x14ac:dyDescent="0.3">
      <c r="F355" s="3">
        <f t="shared" si="30"/>
        <v>5</v>
      </c>
      <c r="G355" s="3">
        <v>4</v>
      </c>
      <c r="H355" s="3">
        <v>0</v>
      </c>
      <c r="I355" s="7">
        <f t="shared" si="32"/>
        <v>5.0666666666666664</v>
      </c>
      <c r="J355" s="5">
        <f t="shared" si="31"/>
        <v>76</v>
      </c>
      <c r="K355" s="3"/>
      <c r="L355" s="3"/>
      <c r="M355" s="3"/>
      <c r="N355" s="11">
        <f t="shared" si="33"/>
        <v>41.406808769322232</v>
      </c>
    </row>
    <row r="356" spans="6:14" x14ac:dyDescent="0.3">
      <c r="F356" s="3">
        <f t="shared" si="30"/>
        <v>5</v>
      </c>
      <c r="G356" s="3">
        <v>8</v>
      </c>
      <c r="H356" s="3">
        <v>0</v>
      </c>
      <c r="I356" s="7">
        <f t="shared" si="32"/>
        <v>5.1333333333333337</v>
      </c>
      <c r="J356" s="5">
        <f t="shared" si="31"/>
        <v>77</v>
      </c>
      <c r="K356" s="3"/>
      <c r="L356" s="3"/>
      <c r="M356" s="3"/>
      <c r="N356" s="11">
        <f t="shared" si="33"/>
        <v>40.407981767542552</v>
      </c>
    </row>
    <row r="357" spans="6:14" x14ac:dyDescent="0.3">
      <c r="F357" s="3">
        <f t="shared" si="30"/>
        <v>5</v>
      </c>
      <c r="G357" s="3">
        <v>12</v>
      </c>
      <c r="H357" s="3">
        <v>0</v>
      </c>
      <c r="I357" s="7">
        <f t="shared" si="32"/>
        <v>5.2</v>
      </c>
      <c r="J357" s="5">
        <f t="shared" si="31"/>
        <v>78</v>
      </c>
      <c r="K357" s="3"/>
      <c r="L357" s="3"/>
      <c r="M357" s="3"/>
      <c r="N357" s="11">
        <f t="shared" si="33"/>
        <v>39.369726262877506</v>
      </c>
    </row>
    <row r="358" spans="6:14" x14ac:dyDescent="0.3">
      <c r="F358" s="3">
        <f t="shared" si="30"/>
        <v>5</v>
      </c>
      <c r="G358" s="3">
        <v>16</v>
      </c>
      <c r="H358" s="3">
        <v>0</v>
      </c>
      <c r="I358" s="7">
        <f t="shared" si="32"/>
        <v>5.2666666666666666</v>
      </c>
      <c r="J358" s="5">
        <f t="shared" si="31"/>
        <v>79</v>
      </c>
      <c r="K358" s="3"/>
      <c r="L358" s="3"/>
      <c r="M358" s="3"/>
      <c r="N358" s="11">
        <f t="shared" si="33"/>
        <v>38.290832356243776</v>
      </c>
    </row>
    <row r="359" spans="6:14" x14ac:dyDescent="0.3">
      <c r="F359" s="3">
        <f t="shared" ref="F359:F368" si="34">1+F344</f>
        <v>5</v>
      </c>
      <c r="G359" s="3">
        <v>20</v>
      </c>
      <c r="H359" s="3">
        <v>0</v>
      </c>
      <c r="I359" s="7">
        <f t="shared" si="32"/>
        <v>5.333333333333333</v>
      </c>
      <c r="J359" s="5">
        <f t="shared" si="31"/>
        <v>80</v>
      </c>
      <c r="K359" s="3"/>
      <c r="L359" s="3"/>
      <c r="M359" s="3"/>
      <c r="N359" s="11">
        <f t="shared" si="33"/>
        <v>37.170133116626893</v>
      </c>
    </row>
    <row r="360" spans="6:14" x14ac:dyDescent="0.3">
      <c r="F360" s="3">
        <f t="shared" si="34"/>
        <v>5</v>
      </c>
      <c r="G360" s="3">
        <v>24</v>
      </c>
      <c r="H360" s="3">
        <v>0</v>
      </c>
      <c r="I360" s="7">
        <f t="shared" si="32"/>
        <v>5.4</v>
      </c>
      <c r="J360" s="5">
        <f t="shared" si="31"/>
        <v>81</v>
      </c>
      <c r="K360" s="3"/>
      <c r="L360" s="3"/>
      <c r="M360" s="3"/>
      <c r="N360" s="11">
        <f t="shared" si="33"/>
        <v>36.006522082145928</v>
      </c>
    </row>
    <row r="361" spans="6:14" x14ac:dyDescent="0.3">
      <c r="F361" s="3">
        <f t="shared" si="34"/>
        <v>5</v>
      </c>
      <c r="G361" s="3">
        <v>28</v>
      </c>
      <c r="H361" s="3">
        <v>0</v>
      </c>
      <c r="I361" s="7">
        <f t="shared" si="32"/>
        <v>5.4666666666666668</v>
      </c>
      <c r="J361" s="5">
        <f t="shared" si="31"/>
        <v>82</v>
      </c>
      <c r="K361" s="3"/>
      <c r="L361" s="3"/>
      <c r="M361" s="3"/>
      <c r="N361" s="11">
        <f t="shared" si="33"/>
        <v>34.798973122803723</v>
      </c>
    </row>
    <row r="362" spans="6:14" x14ac:dyDescent="0.3">
      <c r="F362" s="3">
        <f t="shared" si="34"/>
        <v>5</v>
      </c>
      <c r="G362" s="3">
        <v>32</v>
      </c>
      <c r="H362" s="3">
        <v>0</v>
      </c>
      <c r="I362" s="7">
        <f t="shared" si="32"/>
        <v>5.5333333333333332</v>
      </c>
      <c r="J362" s="5">
        <f t="shared" si="31"/>
        <v>83</v>
      </c>
      <c r="K362" s="3"/>
      <c r="L362" s="3"/>
      <c r="M362" s="3"/>
      <c r="N362" s="11">
        <f t="shared" si="33"/>
        <v>33.546562719740685</v>
      </c>
    </row>
    <row r="363" spans="6:14" x14ac:dyDescent="0.3">
      <c r="F363" s="3">
        <f t="shared" si="34"/>
        <v>5</v>
      </c>
      <c r="G363" s="3">
        <v>36</v>
      </c>
      <c r="H363" s="3">
        <v>0</v>
      </c>
      <c r="I363" s="7">
        <f t="shared" si="32"/>
        <v>5.6</v>
      </c>
      <c r="J363" s="5">
        <f t="shared" si="31"/>
        <v>84</v>
      </c>
      <c r="K363" s="3"/>
      <c r="L363" s="3"/>
      <c r="M363" s="3"/>
      <c r="N363" s="11">
        <f t="shared" si="33"/>
        <v>32.248494644063577</v>
      </c>
    </row>
    <row r="364" spans="6:14" x14ac:dyDescent="0.3">
      <c r="F364" s="3">
        <f t="shared" si="34"/>
        <v>5</v>
      </c>
      <c r="G364" s="3">
        <v>40</v>
      </c>
      <c r="H364" s="3">
        <v>0</v>
      </c>
      <c r="I364" s="7">
        <f t="shared" si="32"/>
        <v>5.666666666666667</v>
      </c>
      <c r="J364" s="5">
        <f t="shared" si="31"/>
        <v>85</v>
      </c>
      <c r="K364" s="3"/>
      <c r="L364" s="3"/>
      <c r="M364" s="3"/>
      <c r="N364" s="11">
        <f t="shared" si="33"/>
        <v>30.904126924767205</v>
      </c>
    </row>
    <row r="365" spans="6:14" x14ac:dyDescent="0.3">
      <c r="F365" s="3">
        <f t="shared" si="34"/>
        <v>5</v>
      </c>
      <c r="G365" s="3">
        <v>44</v>
      </c>
      <c r="H365" s="3">
        <v>0</v>
      </c>
      <c r="I365" s="7">
        <f t="shared" si="32"/>
        <v>5.7333333333333334</v>
      </c>
      <c r="J365" s="5">
        <f t="shared" si="31"/>
        <v>86</v>
      </c>
      <c r="K365" s="3"/>
      <c r="L365" s="3"/>
      <c r="M365" s="3"/>
      <c r="N365" s="11">
        <f t="shared" si="33"/>
        <v>29.513000878230191</v>
      </c>
    </row>
    <row r="366" spans="6:14" x14ac:dyDescent="0.3">
      <c r="F366" s="3">
        <f t="shared" si="34"/>
        <v>5</v>
      </c>
      <c r="G366" s="3">
        <v>48</v>
      </c>
      <c r="H366" s="3">
        <v>0</v>
      </c>
      <c r="I366" s="7">
        <f t="shared" si="32"/>
        <v>5.8</v>
      </c>
      <c r="J366" s="5">
        <f t="shared" si="31"/>
        <v>87</v>
      </c>
      <c r="K366" s="3"/>
      <c r="L366" s="3"/>
      <c r="M366" s="3"/>
      <c r="N366" s="11">
        <f t="shared" si="33"/>
        <v>28.07487183088578</v>
      </c>
    </row>
    <row r="367" spans="6:14" x14ac:dyDescent="0.3">
      <c r="F367" s="3">
        <f t="shared" si="34"/>
        <v>5</v>
      </c>
      <c r="G367" s="3">
        <v>52</v>
      </c>
      <c r="H367" s="3">
        <v>0</v>
      </c>
      <c r="I367" s="7">
        <f t="shared" si="32"/>
        <v>5.8666666666666671</v>
      </c>
      <c r="J367" s="5">
        <f t="shared" si="31"/>
        <v>88</v>
      </c>
      <c r="K367" s="3"/>
      <c r="L367" s="3"/>
      <c r="M367" s="3"/>
      <c r="N367" s="11">
        <f t="shared" si="33"/>
        <v>26.589741003516647</v>
      </c>
    </row>
    <row r="368" spans="6:14" x14ac:dyDescent="0.3">
      <c r="F368" s="3">
        <f t="shared" si="34"/>
        <v>5</v>
      </c>
      <c r="G368" s="3">
        <v>56</v>
      </c>
      <c r="H368" s="3">
        <v>0</v>
      </c>
      <c r="I368" s="7">
        <f t="shared" si="32"/>
        <v>5.9333333333333336</v>
      </c>
      <c r="J368" s="5">
        <f t="shared" si="31"/>
        <v>89</v>
      </c>
      <c r="K368" s="3"/>
      <c r="L368" s="3"/>
      <c r="M368" s="3"/>
      <c r="N368" s="11">
        <f t="shared" si="33"/>
        <v>25.057887844386805</v>
      </c>
    </row>
    <row r="369" spans="6:14" x14ac:dyDescent="0.3">
      <c r="F369" s="3">
        <f>1+F354</f>
        <v>6</v>
      </c>
      <c r="G369" s="3">
        <v>0</v>
      </c>
      <c r="H369" s="3">
        <v>0</v>
      </c>
      <c r="I369" s="7">
        <f t="shared" si="32"/>
        <v>6</v>
      </c>
      <c r="J369" s="5">
        <f t="shared" si="31"/>
        <v>90</v>
      </c>
      <c r="K369" s="3"/>
      <c r="L369" s="3"/>
      <c r="M369" s="3"/>
      <c r="N369" s="11">
        <f t="shared" si="33"/>
        <v>23.479901906526056</v>
      </c>
    </row>
    <row r="370" spans="6:14" x14ac:dyDescent="0.3">
      <c r="F370" s="3">
        <f t="shared" ref="F370:F383" si="35">1+F355</f>
        <v>6</v>
      </c>
      <c r="G370" s="3">
        <v>4</v>
      </c>
      <c r="H370" s="3">
        <v>0</v>
      </c>
      <c r="I370" s="7">
        <f t="shared" si="32"/>
        <v>6.0666666666666664</v>
      </c>
      <c r="J370" s="5">
        <f t="shared" si="31"/>
        <v>91</v>
      </c>
      <c r="K370" s="3"/>
      <c r="L370" s="3"/>
      <c r="M370" s="3"/>
      <c r="N370" s="11">
        <f t="shared" si="33"/>
        <v>21.85671317308044</v>
      </c>
    </row>
    <row r="371" spans="6:14" x14ac:dyDescent="0.3">
      <c r="F371" s="3">
        <f t="shared" si="35"/>
        <v>6</v>
      </c>
      <c r="G371" s="3">
        <v>8</v>
      </c>
      <c r="H371" s="3">
        <v>0</v>
      </c>
      <c r="I371" s="7">
        <f t="shared" si="32"/>
        <v>6.1333333333333337</v>
      </c>
      <c r="J371" s="5">
        <f t="shared" si="31"/>
        <v>92</v>
      </c>
      <c r="K371" s="3"/>
      <c r="L371" s="3"/>
      <c r="M371" s="3"/>
      <c r="N371" s="11">
        <f t="shared" si="33"/>
        <v>20.189619558778315</v>
      </c>
    </row>
    <row r="372" spans="6:14" x14ac:dyDescent="0.3">
      <c r="F372" s="3">
        <f t="shared" si="35"/>
        <v>6</v>
      </c>
      <c r="G372" s="3">
        <v>12</v>
      </c>
      <c r="H372" s="3">
        <v>0</v>
      </c>
      <c r="I372" s="7">
        <f t="shared" si="32"/>
        <v>6.2</v>
      </c>
      <c r="J372" s="5">
        <f t="shared" si="31"/>
        <v>93</v>
      </c>
      <c r="K372" s="3"/>
      <c r="L372" s="3"/>
      <c r="M372" s="3"/>
      <c r="N372" s="11">
        <f t="shared" si="33"/>
        <v>18.480310173844636</v>
      </c>
    </row>
    <row r="373" spans="6:14" x14ac:dyDescent="0.3">
      <c r="F373" s="3">
        <f t="shared" si="35"/>
        <v>6</v>
      </c>
      <c r="G373" s="3">
        <v>16</v>
      </c>
      <c r="H373" s="3">
        <v>0</v>
      </c>
      <c r="I373" s="7">
        <f t="shared" si="32"/>
        <v>6.2666666666666666</v>
      </c>
      <c r="J373" s="5">
        <f t="shared" si="31"/>
        <v>94</v>
      </c>
      <c r="K373" s="3"/>
      <c r="L373" s="3"/>
      <c r="M373" s="3"/>
      <c r="N373" s="11">
        <f t="shared" si="33"/>
        <v>16.730882850295227</v>
      </c>
    </row>
    <row r="374" spans="6:14" x14ac:dyDescent="0.3">
      <c r="F374" s="3">
        <f t="shared" si="35"/>
        <v>6</v>
      </c>
      <c r="G374" s="3">
        <v>20</v>
      </c>
      <c r="H374" s="3">
        <v>0</v>
      </c>
      <c r="I374" s="7">
        <f t="shared" si="32"/>
        <v>6.333333333333333</v>
      </c>
      <c r="J374" s="5">
        <f t="shared" si="31"/>
        <v>95</v>
      </c>
      <c r="K374" s="3"/>
      <c r="L374" s="3"/>
      <c r="M374" s="3"/>
      <c r="N374" s="11">
        <f t="shared" si="33"/>
        <v>14.943854421404581</v>
      </c>
    </row>
    <row r="375" spans="6:14" x14ac:dyDescent="0.3">
      <c r="F375" s="3">
        <f t="shared" si="35"/>
        <v>6</v>
      </c>
      <c r="G375" s="3">
        <v>24</v>
      </c>
      <c r="H375" s="3">
        <v>0</v>
      </c>
      <c r="I375" s="7">
        <f t="shared" si="32"/>
        <v>6.4</v>
      </c>
      <c r="J375" s="5">
        <f t="shared" si="31"/>
        <v>96</v>
      </c>
      <c r="K375" s="3"/>
      <c r="L375" s="3"/>
      <c r="M375" s="3"/>
      <c r="N375" s="11">
        <f t="shared" si="33"/>
        <v>13.122162333409641</v>
      </c>
    </row>
    <row r="376" spans="6:14" x14ac:dyDescent="0.3">
      <c r="F376" s="3">
        <f t="shared" si="35"/>
        <v>6</v>
      </c>
      <c r="G376" s="3">
        <v>28</v>
      </c>
      <c r="H376" s="3">
        <v>0</v>
      </c>
      <c r="I376" s="7">
        <f t="shared" si="32"/>
        <v>6.4666666666666668</v>
      </c>
      <c r="J376" s="5">
        <f t="shared" si="31"/>
        <v>97</v>
      </c>
      <c r="K376" s="3"/>
      <c r="L376" s="3"/>
      <c r="M376" s="3"/>
      <c r="N376" s="11">
        <f t="shared" si="33"/>
        <v>11.269156369319875</v>
      </c>
    </row>
    <row r="377" spans="6:14" x14ac:dyDescent="0.3">
      <c r="F377" s="3">
        <f t="shared" si="35"/>
        <v>6</v>
      </c>
      <c r="G377" s="3">
        <v>32</v>
      </c>
      <c r="H377" s="3">
        <v>0</v>
      </c>
      <c r="I377" s="7">
        <f t="shared" si="32"/>
        <v>6.5333333333333332</v>
      </c>
      <c r="J377" s="5">
        <f t="shared" si="31"/>
        <v>98</v>
      </c>
      <c r="K377" s="3"/>
      <c r="L377" s="3"/>
      <c r="M377" s="3"/>
      <c r="N377" s="11">
        <f t="shared" si="33"/>
        <v>9.3885795847117972</v>
      </c>
    </row>
    <row r="378" spans="6:14" x14ac:dyDescent="0.3">
      <c r="F378" s="3">
        <f t="shared" si="35"/>
        <v>6</v>
      </c>
      <c r="G378" s="3">
        <v>36</v>
      </c>
      <c r="H378" s="3">
        <v>0</v>
      </c>
      <c r="I378" s="7">
        <f t="shared" si="32"/>
        <v>6.6</v>
      </c>
      <c r="J378" s="5">
        <f t="shared" si="31"/>
        <v>99</v>
      </c>
      <c r="K378" s="3"/>
      <c r="L378" s="3"/>
      <c r="M378" s="3"/>
      <c r="N378" s="11">
        <f t="shared" si="33"/>
        <v>7.4845379896277988</v>
      </c>
    </row>
    <row r="379" spans="6:14" x14ac:dyDescent="0.3">
      <c r="F379" s="3">
        <f t="shared" si="35"/>
        <v>6</v>
      </c>
      <c r="G379" s="3">
        <v>40</v>
      </c>
      <c r="H379" s="3">
        <v>0</v>
      </c>
      <c r="I379" s="7">
        <f t="shared" si="32"/>
        <v>6.666666666666667</v>
      </c>
      <c r="J379" s="5">
        <f t="shared" si="31"/>
        <v>100</v>
      </c>
      <c r="K379" s="3"/>
      <c r="L379" s="3"/>
      <c r="M379" s="3"/>
      <c r="N379" s="11">
        <f t="shared" si="33"/>
        <v>5.5614590404656443</v>
      </c>
    </row>
    <row r="380" spans="6:14" x14ac:dyDescent="0.3">
      <c r="F380" s="3">
        <f t="shared" si="35"/>
        <v>6</v>
      </c>
      <c r="G380" s="3">
        <v>44</v>
      </c>
      <c r="H380" s="3">
        <v>0</v>
      </c>
      <c r="I380" s="7">
        <f t="shared" si="32"/>
        <v>6.7333333333333334</v>
      </c>
      <c r="J380" s="5">
        <f t="shared" si="31"/>
        <v>101</v>
      </c>
      <c r="K380" s="3"/>
      <c r="L380" s="3"/>
      <c r="M380" s="3"/>
      <c r="N380" s="11">
        <f t="shared" si="33"/>
        <v>3.6240395981845483</v>
      </c>
    </row>
    <row r="381" spans="6:14" x14ac:dyDescent="0.3">
      <c r="F381" s="3">
        <f t="shared" si="35"/>
        <v>6</v>
      </c>
      <c r="G381" s="3">
        <v>48</v>
      </c>
      <c r="H381" s="3">
        <v>0</v>
      </c>
      <c r="I381" s="7">
        <f t="shared" si="32"/>
        <v>6.8</v>
      </c>
      <c r="J381" s="5">
        <f t="shared" si="31"/>
        <v>102</v>
      </c>
      <c r="K381" s="3"/>
      <c r="L381" s="3"/>
      <c r="M381" s="3"/>
      <c r="N381" s="11">
        <f t="shared" si="33"/>
        <v>1.6771846191304334</v>
      </c>
    </row>
    <row r="382" spans="6:14" x14ac:dyDescent="0.3">
      <c r="F382" s="3">
        <f t="shared" si="35"/>
        <v>6</v>
      </c>
      <c r="G382" s="3">
        <v>52</v>
      </c>
      <c r="H382" s="3">
        <v>0</v>
      </c>
      <c r="I382" s="7">
        <f t="shared" si="32"/>
        <v>6.8666666666666671</v>
      </c>
      <c r="J382" s="5">
        <f t="shared" si="31"/>
        <v>103</v>
      </c>
      <c r="K382" s="3"/>
      <c r="L382" s="3"/>
      <c r="M382" s="3"/>
      <c r="N382" s="11">
        <f t="shared" si="33"/>
        <v>-0.27406158088231786</v>
      </c>
    </row>
    <row r="383" spans="6:14" x14ac:dyDescent="0.3">
      <c r="F383" s="3" t="s">
        <v>79</v>
      </c>
      <c r="G383" s="3" t="s">
        <v>79</v>
      </c>
      <c r="H383" s="3" t="s">
        <v>79</v>
      </c>
      <c r="I383" s="7"/>
      <c r="J383" s="5"/>
      <c r="K383" s="3"/>
      <c r="L383" s="3"/>
      <c r="M383" s="3"/>
      <c r="N383" s="11"/>
    </row>
    <row r="384" spans="6:14" x14ac:dyDescent="0.3">
      <c r="F384" s="3"/>
      <c r="G384" s="3"/>
      <c r="H384" s="3"/>
      <c r="I384" s="7"/>
      <c r="J384" s="5"/>
      <c r="K384" s="3"/>
      <c r="L384" s="3"/>
      <c r="M384" s="3"/>
      <c r="N384" s="11"/>
    </row>
    <row r="385" spans="6:14" x14ac:dyDescent="0.3">
      <c r="F385" s="3"/>
      <c r="G385" s="3"/>
      <c r="H385" s="3"/>
      <c r="I385" s="7"/>
      <c r="J385" s="5"/>
      <c r="K385" s="3"/>
      <c r="L385" s="3"/>
      <c r="M385" s="3"/>
      <c r="N385" s="11"/>
    </row>
    <row r="386" spans="6:14" x14ac:dyDescent="0.3">
      <c r="F386" s="3"/>
      <c r="G386" s="3"/>
      <c r="H386" s="3"/>
      <c r="I386" s="7"/>
      <c r="J386" s="5"/>
      <c r="K386" s="3"/>
      <c r="L386" s="3"/>
      <c r="M386" s="3"/>
      <c r="N386" s="11"/>
    </row>
    <row r="387" spans="6:14" x14ac:dyDescent="0.3">
      <c r="F387" s="3"/>
      <c r="G387" s="3"/>
      <c r="H387" s="3"/>
      <c r="I387" s="7"/>
      <c r="J387" s="5"/>
      <c r="K387" s="3"/>
      <c r="L387" s="3"/>
      <c r="M387" s="3"/>
      <c r="N387" s="11"/>
    </row>
    <row r="388" spans="6:14" x14ac:dyDescent="0.3">
      <c r="F388" s="3"/>
      <c r="G388" s="3"/>
      <c r="H388" s="3"/>
      <c r="I388" s="7"/>
      <c r="J388" s="5"/>
      <c r="K388" s="3"/>
      <c r="L388" s="3"/>
      <c r="M388" s="3"/>
      <c r="N388" s="11"/>
    </row>
    <row r="389" spans="6:14" x14ac:dyDescent="0.3">
      <c r="F389" s="3"/>
      <c r="G389" s="3"/>
      <c r="H389" s="3"/>
      <c r="I389" s="7"/>
      <c r="J389" s="5"/>
      <c r="K389" s="3"/>
      <c r="L389" s="3"/>
      <c r="M389" s="3"/>
      <c r="N389" s="11"/>
    </row>
    <row r="390" spans="6:14" x14ac:dyDescent="0.3">
      <c r="F390" s="3"/>
      <c r="G390" s="3"/>
      <c r="H390" s="3"/>
      <c r="I390" s="7"/>
      <c r="J390" s="5"/>
      <c r="K390" s="3"/>
      <c r="L390" s="3"/>
      <c r="M390" s="3"/>
      <c r="N390" s="11"/>
    </row>
    <row r="391" spans="6:14" x14ac:dyDescent="0.3">
      <c r="F391" s="3"/>
      <c r="G391" s="3"/>
      <c r="H391" s="3"/>
      <c r="I391" s="7"/>
      <c r="J391" s="5"/>
      <c r="K391" s="3"/>
      <c r="L391" s="3"/>
      <c r="M391" s="3"/>
      <c r="N391" s="11"/>
    </row>
    <row r="392" spans="6:14" x14ac:dyDescent="0.3">
      <c r="F392" s="3"/>
      <c r="G392" s="3"/>
      <c r="H392" s="3"/>
      <c r="I392" s="7"/>
      <c r="J392" s="5"/>
      <c r="K392" s="3"/>
      <c r="L392" s="3"/>
      <c r="M392" s="3"/>
      <c r="N392" s="11"/>
    </row>
    <row r="393" spans="6:14" x14ac:dyDescent="0.3">
      <c r="F393" s="3"/>
      <c r="G393" s="3"/>
      <c r="H393" s="3"/>
      <c r="I393" s="7"/>
      <c r="J393" s="5"/>
      <c r="K393" s="3"/>
      <c r="L393" s="3"/>
      <c r="M393" s="3"/>
      <c r="N393" s="11"/>
    </row>
    <row r="394" spans="6:14" x14ac:dyDescent="0.3">
      <c r="F394" s="3"/>
      <c r="G394" s="3"/>
      <c r="H394" s="3"/>
      <c r="I394" s="7"/>
      <c r="J394" s="5"/>
      <c r="K394" s="3"/>
      <c r="L394" s="3"/>
      <c r="M394" s="3"/>
      <c r="N394" s="11"/>
    </row>
    <row r="395" spans="6:14" x14ac:dyDescent="0.3">
      <c r="F395" s="3"/>
      <c r="G395" s="3"/>
      <c r="H395" s="3"/>
      <c r="I395" s="7"/>
      <c r="J395" s="5"/>
      <c r="K395" s="3"/>
      <c r="L395" s="3"/>
      <c r="M395" s="3"/>
      <c r="N395" s="11"/>
    </row>
    <row r="396" spans="6:14" x14ac:dyDescent="0.3">
      <c r="F396" s="3"/>
      <c r="G396" s="3"/>
      <c r="H396" s="3"/>
      <c r="I396" s="7"/>
      <c r="J396" s="5"/>
      <c r="K396" s="3"/>
      <c r="L396" s="3"/>
      <c r="M396" s="3"/>
      <c r="N396" s="11"/>
    </row>
    <row r="397" spans="6:14" x14ac:dyDescent="0.3">
      <c r="F397" s="3"/>
      <c r="G397" s="3"/>
      <c r="H397" s="3"/>
      <c r="I397" s="7"/>
      <c r="J397" s="5"/>
      <c r="K397" s="3"/>
      <c r="L397" s="3"/>
      <c r="M397" s="3"/>
      <c r="N397" s="11"/>
    </row>
    <row r="398" spans="6:14" x14ac:dyDescent="0.3">
      <c r="F398" s="3"/>
      <c r="G398" s="3"/>
      <c r="H398" s="3"/>
      <c r="I398" s="7"/>
      <c r="J398" s="5"/>
      <c r="K398" s="3"/>
      <c r="L398" s="3"/>
      <c r="M398" s="3"/>
      <c r="N398" s="11"/>
    </row>
    <row r="399" spans="6:14" x14ac:dyDescent="0.3">
      <c r="F399" s="3"/>
      <c r="G399" s="3"/>
      <c r="H399" s="3"/>
      <c r="I399" s="7"/>
      <c r="J399" s="5"/>
      <c r="K399" s="3"/>
      <c r="L399" s="3"/>
      <c r="M399" s="3"/>
      <c r="N399" s="11"/>
    </row>
    <row r="400" spans="6:14" x14ac:dyDescent="0.3">
      <c r="F400" s="3"/>
      <c r="G400" s="3"/>
      <c r="H400" s="3"/>
      <c r="I400" s="7"/>
      <c r="J400" s="5"/>
      <c r="K400" s="3"/>
      <c r="L400" s="3"/>
      <c r="M400" s="3"/>
      <c r="N400" s="11"/>
    </row>
    <row r="401" spans="6:14" x14ac:dyDescent="0.3">
      <c r="F401" s="3"/>
      <c r="G401" s="3"/>
      <c r="H401" s="3"/>
      <c r="I401" s="7"/>
      <c r="J401" s="5"/>
      <c r="K401" s="3"/>
      <c r="L401" s="3"/>
      <c r="M401" s="3"/>
      <c r="N401" s="11"/>
    </row>
    <row r="402" spans="6:14" x14ac:dyDescent="0.3">
      <c r="F402" s="3"/>
      <c r="G402" s="3"/>
      <c r="H402" s="3"/>
      <c r="I402" s="7"/>
      <c r="J402" s="5"/>
      <c r="K402" s="3"/>
      <c r="L402" s="3"/>
      <c r="M402" s="3"/>
      <c r="N402" s="11"/>
    </row>
    <row r="403" spans="6:14" x14ac:dyDescent="0.3">
      <c r="F403" s="3"/>
      <c r="G403" s="3"/>
      <c r="H403" s="3"/>
      <c r="I403" s="7"/>
      <c r="J403" s="5"/>
      <c r="K403" s="3"/>
      <c r="L403" s="3"/>
      <c r="M403" s="3"/>
      <c r="N403" s="11"/>
    </row>
    <row r="404" spans="6:14" x14ac:dyDescent="0.3">
      <c r="F404" s="3"/>
      <c r="G404" s="3"/>
      <c r="H404" s="3"/>
      <c r="I404" s="7"/>
      <c r="J404" s="5"/>
      <c r="K404" s="3"/>
      <c r="L404" s="3"/>
      <c r="M404" s="3"/>
      <c r="N404" s="11"/>
    </row>
    <row r="405" spans="6:14" x14ac:dyDescent="0.3">
      <c r="F405" s="3"/>
      <c r="G405" s="3"/>
      <c r="H405" s="3"/>
      <c r="I405" s="7"/>
      <c r="J405" s="5"/>
      <c r="K405" s="3"/>
      <c r="L405" s="3"/>
      <c r="M405" s="3"/>
      <c r="N405" s="11"/>
    </row>
    <row r="406" spans="6:14" x14ac:dyDescent="0.3">
      <c r="F406" s="3"/>
      <c r="G406" s="3"/>
      <c r="H406" s="3"/>
      <c r="I406" s="7"/>
      <c r="J406" s="5"/>
      <c r="K406" s="3"/>
      <c r="L406" s="3"/>
      <c r="M406" s="3"/>
      <c r="N406" s="11"/>
    </row>
    <row r="407" spans="6:14" x14ac:dyDescent="0.3">
      <c r="F407" s="3"/>
      <c r="G407" s="3"/>
      <c r="H407" s="3"/>
      <c r="I407" s="7"/>
      <c r="J407" s="5"/>
      <c r="K407" s="3"/>
      <c r="L407" s="3"/>
      <c r="M407" s="3"/>
      <c r="N407" s="11"/>
    </row>
    <row r="408" spans="6:14" x14ac:dyDescent="0.3">
      <c r="F408" s="3"/>
      <c r="G408" s="3"/>
      <c r="H408" s="3"/>
      <c r="I408" s="7"/>
      <c r="J408" s="5"/>
      <c r="K408" s="3"/>
      <c r="L408" s="3"/>
      <c r="M408" s="3"/>
      <c r="N408" s="11"/>
    </row>
    <row r="409" spans="6:14" x14ac:dyDescent="0.3">
      <c r="F409" s="3"/>
      <c r="G409" s="3"/>
      <c r="H409" s="3"/>
      <c r="I409" s="7"/>
      <c r="J409" s="5"/>
      <c r="K409" s="3"/>
      <c r="L409" s="3"/>
      <c r="M409" s="3"/>
      <c r="N409" s="11"/>
    </row>
    <row r="410" spans="6:14" x14ac:dyDescent="0.3">
      <c r="F410" s="3"/>
      <c r="G410" s="3"/>
      <c r="H410" s="3"/>
      <c r="I410" s="7"/>
      <c r="J410" s="5"/>
      <c r="K410" s="3"/>
      <c r="L410" s="3"/>
      <c r="M410" s="3"/>
      <c r="N410" s="11"/>
    </row>
    <row r="411" spans="6:14" x14ac:dyDescent="0.3">
      <c r="F411" s="3"/>
      <c r="G411" s="3"/>
      <c r="H411" s="3"/>
      <c r="I411" s="7"/>
      <c r="J411" s="5"/>
      <c r="K411" s="3"/>
      <c r="L411" s="3"/>
      <c r="M411" s="3"/>
      <c r="N411" s="11"/>
    </row>
    <row r="412" spans="6:14" x14ac:dyDescent="0.3">
      <c r="F412" s="3"/>
      <c r="G412" s="3"/>
      <c r="H412" s="3"/>
      <c r="I412" s="7"/>
      <c r="J412" s="5"/>
      <c r="K412" s="3"/>
      <c r="L412" s="3"/>
      <c r="M412" s="3"/>
      <c r="N412" s="11"/>
    </row>
    <row r="413" spans="6:14" x14ac:dyDescent="0.3">
      <c r="F413" s="3"/>
      <c r="G413" s="3"/>
      <c r="H413" s="3"/>
      <c r="I413" s="7"/>
      <c r="J413" s="5"/>
      <c r="K413" s="3"/>
      <c r="L413" s="3"/>
      <c r="M413" s="3"/>
      <c r="N413" s="11"/>
    </row>
    <row r="414" spans="6:14" x14ac:dyDescent="0.3">
      <c r="F414" s="3"/>
      <c r="G414" s="3"/>
      <c r="H414" s="3"/>
      <c r="I414" s="7"/>
      <c r="J414" s="5"/>
      <c r="K414" s="3"/>
      <c r="L414" s="3"/>
      <c r="M414" s="3"/>
      <c r="N414" s="11"/>
    </row>
    <row r="415" spans="6:14" x14ac:dyDescent="0.3">
      <c r="F415" s="3"/>
      <c r="G415" s="3"/>
      <c r="H415" s="3"/>
      <c r="I415" s="7"/>
      <c r="J415" s="5"/>
      <c r="K415" s="3"/>
      <c r="L415" s="3"/>
      <c r="M415" s="3"/>
      <c r="N415" s="11"/>
    </row>
    <row r="416" spans="6:14" x14ac:dyDescent="0.3">
      <c r="F416" s="3"/>
      <c r="G416" s="3"/>
      <c r="H416" s="3"/>
      <c r="I416" s="7"/>
      <c r="J416" s="5"/>
      <c r="K416" s="3"/>
      <c r="L416" s="3"/>
      <c r="M416" s="3"/>
      <c r="N416" s="11"/>
    </row>
    <row r="417" spans="5:14" x14ac:dyDescent="0.3">
      <c r="F417" s="3"/>
      <c r="G417" s="3"/>
      <c r="H417" s="3"/>
      <c r="I417" s="7"/>
      <c r="J417" s="5"/>
      <c r="K417" s="3"/>
      <c r="L417" s="3"/>
      <c r="M417" s="3"/>
      <c r="N417" s="11"/>
    </row>
    <row r="418" spans="5:14" x14ac:dyDescent="0.3">
      <c r="F418" s="3"/>
      <c r="G418" s="3"/>
      <c r="H418" s="3"/>
      <c r="I418" s="7"/>
      <c r="J418" s="5"/>
      <c r="K418" s="3"/>
      <c r="L418" s="3"/>
      <c r="M418" s="3"/>
      <c r="N418" s="11"/>
    </row>
    <row r="419" spans="5:14" x14ac:dyDescent="0.3">
      <c r="F419" s="3"/>
      <c r="G419" s="3"/>
      <c r="H419" s="3"/>
      <c r="I419" s="7"/>
      <c r="J419" s="5"/>
      <c r="K419" s="3"/>
      <c r="L419" s="3"/>
      <c r="M419" s="3"/>
      <c r="N419" s="11"/>
    </row>
    <row r="420" spans="5:14" x14ac:dyDescent="0.3">
      <c r="E420" s="1" t="s">
        <v>62</v>
      </c>
      <c r="F420" s="2">
        <v>12</v>
      </c>
      <c r="G420" s="2">
        <v>51</v>
      </c>
      <c r="H420" s="2">
        <v>26</v>
      </c>
      <c r="I420" s="7">
        <f t="shared" ref="I420:I429" si="36">(((H420/60)+G420)/60)+F420</f>
        <v>12.857222222222223</v>
      </c>
      <c r="J420" s="5">
        <f t="shared" ref="J420:J429" si="37">((((H420/60)+G420)/60)+F420)*15</f>
        <v>192.85833333333335</v>
      </c>
      <c r="K420" s="2">
        <v>0</v>
      </c>
      <c r="L420" s="2">
        <v>0</v>
      </c>
      <c r="M420" s="2">
        <v>0</v>
      </c>
      <c r="N420" s="7">
        <f t="shared" ref="N420:N429" si="38">-((((M420/60)+L420)/60)+ABS(K420))</f>
        <v>0</v>
      </c>
    </row>
    <row r="421" spans="5:14" x14ac:dyDescent="0.3">
      <c r="I421" s="7">
        <f t="shared" si="36"/>
        <v>0</v>
      </c>
      <c r="J421" s="5">
        <f t="shared" si="37"/>
        <v>0</v>
      </c>
      <c r="N421" s="7">
        <f t="shared" si="38"/>
        <v>0</v>
      </c>
    </row>
    <row r="422" spans="5:14" x14ac:dyDescent="0.3">
      <c r="I422" s="7">
        <f t="shared" si="36"/>
        <v>0</v>
      </c>
      <c r="J422" s="5">
        <f t="shared" si="37"/>
        <v>0</v>
      </c>
      <c r="N422" s="7">
        <f t="shared" si="38"/>
        <v>0</v>
      </c>
    </row>
    <row r="423" spans="5:14" x14ac:dyDescent="0.3">
      <c r="I423" s="7">
        <f t="shared" si="36"/>
        <v>0</v>
      </c>
      <c r="J423" s="5">
        <f t="shared" si="37"/>
        <v>0</v>
      </c>
      <c r="N423" s="7">
        <f t="shared" si="38"/>
        <v>0</v>
      </c>
    </row>
    <row r="424" spans="5:14" x14ac:dyDescent="0.3">
      <c r="I424" s="7">
        <f t="shared" si="36"/>
        <v>0</v>
      </c>
      <c r="J424" s="5">
        <f t="shared" si="37"/>
        <v>0</v>
      </c>
      <c r="N424" s="7">
        <f t="shared" si="38"/>
        <v>0</v>
      </c>
    </row>
    <row r="425" spans="5:14" x14ac:dyDescent="0.3">
      <c r="I425" s="7">
        <f t="shared" si="36"/>
        <v>0</v>
      </c>
      <c r="J425" s="5">
        <f t="shared" si="37"/>
        <v>0</v>
      </c>
      <c r="N425" s="7">
        <f t="shared" si="38"/>
        <v>0</v>
      </c>
    </row>
    <row r="426" spans="5:14" x14ac:dyDescent="0.3">
      <c r="I426" s="7">
        <f t="shared" si="36"/>
        <v>0</v>
      </c>
      <c r="J426" s="5">
        <f t="shared" si="37"/>
        <v>0</v>
      </c>
      <c r="N426" s="7">
        <f t="shared" si="38"/>
        <v>0</v>
      </c>
    </row>
    <row r="427" spans="5:14" x14ac:dyDescent="0.3">
      <c r="I427" s="7">
        <f t="shared" si="36"/>
        <v>0</v>
      </c>
      <c r="J427" s="5">
        <f t="shared" si="37"/>
        <v>0</v>
      </c>
      <c r="N427" s="7">
        <f t="shared" si="38"/>
        <v>0</v>
      </c>
    </row>
    <row r="428" spans="5:14" x14ac:dyDescent="0.3">
      <c r="I428" s="7">
        <f t="shared" si="36"/>
        <v>0</v>
      </c>
      <c r="J428" s="5">
        <f t="shared" si="37"/>
        <v>0</v>
      </c>
      <c r="N428" s="7">
        <f t="shared" si="38"/>
        <v>0</v>
      </c>
    </row>
    <row r="429" spans="5:14" x14ac:dyDescent="0.3">
      <c r="I429" s="7">
        <f t="shared" si="36"/>
        <v>0</v>
      </c>
      <c r="J429" s="5">
        <f t="shared" si="37"/>
        <v>0</v>
      </c>
      <c r="N429" s="7">
        <f t="shared" si="38"/>
        <v>0</v>
      </c>
    </row>
    <row r="430" spans="5:14" x14ac:dyDescent="0.3">
      <c r="I430" s="7"/>
      <c r="N430" s="7"/>
    </row>
    <row r="431" spans="5:14" x14ac:dyDescent="0.3">
      <c r="I431" s="7"/>
      <c r="N431" s="7"/>
    </row>
    <row r="432" spans="5:14" x14ac:dyDescent="0.3">
      <c r="I432" s="7"/>
      <c r="N432" s="7"/>
    </row>
    <row r="433" spans="6:14" x14ac:dyDescent="0.3">
      <c r="I433" s="7"/>
      <c r="N433" s="7"/>
    </row>
    <row r="434" spans="6:14" x14ac:dyDescent="0.3">
      <c r="F434" s="2">
        <v>5</v>
      </c>
      <c r="G434" s="2">
        <v>25</v>
      </c>
      <c r="H434" s="2">
        <v>8</v>
      </c>
      <c r="I434" s="7"/>
      <c r="J434" s="5">
        <f>((((H434/60)+G434)/60)+F434)*15</f>
        <v>81.283333333333331</v>
      </c>
      <c r="N434" s="7"/>
    </row>
    <row r="435" spans="6:14" x14ac:dyDescent="0.3">
      <c r="I435" s="7"/>
      <c r="N435" s="7"/>
    </row>
    <row r="436" spans="6:14" x14ac:dyDescent="0.3">
      <c r="I436" s="7"/>
    </row>
    <row r="437" spans="6:14" x14ac:dyDescent="0.3">
      <c r="I437" s="7"/>
    </row>
    <row r="438" spans="6:14" x14ac:dyDescent="0.3">
      <c r="I438" s="7"/>
    </row>
    <row r="439" spans="6:14" x14ac:dyDescent="0.3">
      <c r="I439" s="7"/>
    </row>
  </sheetData>
  <mergeCells count="2">
    <mergeCell ref="F5:H5"/>
    <mergeCell ref="K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galactic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Gillis</dc:creator>
  <cp:lastModifiedBy>Will Gillis</cp:lastModifiedBy>
  <dcterms:created xsi:type="dcterms:W3CDTF">2026-01-18T19:10:31Z</dcterms:created>
  <dcterms:modified xsi:type="dcterms:W3CDTF">2026-01-22T22:11:45Z</dcterms:modified>
</cp:coreProperties>
</file>