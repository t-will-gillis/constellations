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ill\Desktop\projects\007_PythonProjects\constellations\"/>
    </mc:Choice>
  </mc:AlternateContent>
  <xr:revisionPtr revIDLastSave="0" documentId="13_ncr:1_{EB3A29EE-9F91-4CB3-9B78-242C26FB14C7}" xr6:coauthVersionLast="47" xr6:coauthVersionMax="47" xr10:uidLastSave="{00000000-0000-0000-0000-000000000000}"/>
  <bookViews>
    <workbookView xWindow="-216" yWindow="-216" windowWidth="23256" windowHeight="12576" activeTab="3" xr2:uid="{B62E7D92-891F-4234-B730-710810B00720}"/>
  </bookViews>
  <sheets>
    <sheet name="const_perim" sheetId="1" r:id="rId1"/>
    <sheet name="const_areas" sheetId="2" r:id="rId2"/>
    <sheet name="colors" sheetId="3" r:id="rId3"/>
    <sheet name="plot_graph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4" l="1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43" i="4"/>
  <c r="G44" i="4"/>
  <c r="G45" i="4"/>
  <c r="G46" i="4"/>
  <c r="G47" i="4"/>
  <c r="G48" i="4"/>
  <c r="G49" i="4"/>
  <c r="G50" i="4"/>
  <c r="H50" i="4" s="1"/>
  <c r="G51" i="4"/>
  <c r="G52" i="4"/>
  <c r="G53" i="4"/>
  <c r="G54" i="4"/>
  <c r="G55" i="4"/>
  <c r="G56" i="4"/>
  <c r="G57" i="4"/>
  <c r="H57" i="4" s="1"/>
  <c r="G58" i="4"/>
  <c r="H58" i="4" s="1"/>
  <c r="G59" i="4"/>
  <c r="G60" i="4"/>
  <c r="G61" i="4"/>
  <c r="G62" i="4"/>
  <c r="G63" i="4"/>
  <c r="G64" i="4"/>
  <c r="G65" i="4"/>
  <c r="G43" i="4"/>
  <c r="H43" i="4" s="1"/>
  <c r="F44" i="4"/>
  <c r="F45" i="4"/>
  <c r="H45" i="4" s="1"/>
  <c r="F46" i="4"/>
  <c r="F47" i="4"/>
  <c r="F48" i="4"/>
  <c r="F49" i="4"/>
  <c r="F50" i="4"/>
  <c r="F51" i="4"/>
  <c r="F52" i="4"/>
  <c r="F53" i="4"/>
  <c r="H53" i="4" s="1"/>
  <c r="F54" i="4"/>
  <c r="F55" i="4"/>
  <c r="F56" i="4"/>
  <c r="F57" i="4"/>
  <c r="F58" i="4"/>
  <c r="F59" i="4"/>
  <c r="F60" i="4"/>
  <c r="F61" i="4"/>
  <c r="H61" i="4" s="1"/>
  <c r="F62" i="4"/>
  <c r="F63" i="4"/>
  <c r="F64" i="4"/>
  <c r="F65" i="4"/>
  <c r="F43" i="4"/>
  <c r="H65" i="4"/>
  <c r="H64" i="4"/>
  <c r="H63" i="4"/>
  <c r="H62" i="4"/>
  <c r="H60" i="4"/>
  <c r="H56" i="4"/>
  <c r="H55" i="4"/>
  <c r="H54" i="4"/>
  <c r="H52" i="4"/>
  <c r="H49" i="4"/>
  <c r="H48" i="4"/>
  <c r="H47" i="4"/>
  <c r="H46" i="4"/>
  <c r="H44" i="4"/>
  <c r="J42" i="4"/>
  <c r="J9" i="4"/>
  <c r="F11" i="4"/>
  <c r="G11" i="4" s="1"/>
  <c r="H11" i="4" s="1"/>
  <c r="I11" i="4" s="1"/>
  <c r="J11" i="4" s="1"/>
  <c r="F12" i="4"/>
  <c r="G12" i="4" s="1"/>
  <c r="H12" i="4" s="1"/>
  <c r="I12" i="4" s="1"/>
  <c r="J12" i="4" s="1"/>
  <c r="F13" i="4"/>
  <c r="G13" i="4" s="1"/>
  <c r="H13" i="4" s="1"/>
  <c r="I13" i="4" s="1"/>
  <c r="J13" i="4" s="1"/>
  <c r="F14" i="4"/>
  <c r="G14" i="4" s="1"/>
  <c r="H14" i="4" s="1"/>
  <c r="I14" i="4" s="1"/>
  <c r="J14" i="4" s="1"/>
  <c r="F15" i="4"/>
  <c r="G15" i="4" s="1"/>
  <c r="H15" i="4" s="1"/>
  <c r="I15" i="4" s="1"/>
  <c r="J15" i="4" s="1"/>
  <c r="F16" i="4"/>
  <c r="G16" i="4" s="1"/>
  <c r="H16" i="4" s="1"/>
  <c r="I16" i="4" s="1"/>
  <c r="J16" i="4" s="1"/>
  <c r="F17" i="4"/>
  <c r="G17" i="4" s="1"/>
  <c r="H17" i="4" s="1"/>
  <c r="I17" i="4" s="1"/>
  <c r="J17" i="4" s="1"/>
  <c r="F18" i="4"/>
  <c r="G18" i="4" s="1"/>
  <c r="H18" i="4" s="1"/>
  <c r="I18" i="4" s="1"/>
  <c r="J18" i="4" s="1"/>
  <c r="F19" i="4"/>
  <c r="G19" i="4" s="1"/>
  <c r="H19" i="4" s="1"/>
  <c r="I19" i="4" s="1"/>
  <c r="J19" i="4" s="1"/>
  <c r="F20" i="4"/>
  <c r="G20" i="4" s="1"/>
  <c r="H20" i="4" s="1"/>
  <c r="I20" i="4" s="1"/>
  <c r="J20" i="4" s="1"/>
  <c r="F21" i="4"/>
  <c r="G21" i="4" s="1"/>
  <c r="H21" i="4" s="1"/>
  <c r="I21" i="4" s="1"/>
  <c r="J21" i="4" s="1"/>
  <c r="F22" i="4"/>
  <c r="G22" i="4" s="1"/>
  <c r="H22" i="4" s="1"/>
  <c r="I22" i="4" s="1"/>
  <c r="J22" i="4" s="1"/>
  <c r="F23" i="4"/>
  <c r="G23" i="4" s="1"/>
  <c r="H23" i="4" s="1"/>
  <c r="I23" i="4" s="1"/>
  <c r="J23" i="4" s="1"/>
  <c r="F24" i="4"/>
  <c r="G24" i="4" s="1"/>
  <c r="H24" i="4" s="1"/>
  <c r="I24" i="4" s="1"/>
  <c r="J24" i="4" s="1"/>
  <c r="F25" i="4"/>
  <c r="G25" i="4" s="1"/>
  <c r="H25" i="4" s="1"/>
  <c r="I25" i="4" s="1"/>
  <c r="J25" i="4" s="1"/>
  <c r="F26" i="4"/>
  <c r="G26" i="4" s="1"/>
  <c r="H26" i="4" s="1"/>
  <c r="I26" i="4" s="1"/>
  <c r="J26" i="4" s="1"/>
  <c r="F27" i="4"/>
  <c r="G27" i="4" s="1"/>
  <c r="H27" i="4" s="1"/>
  <c r="I27" i="4" s="1"/>
  <c r="J27" i="4" s="1"/>
  <c r="F28" i="4"/>
  <c r="G28" i="4" s="1"/>
  <c r="H28" i="4" s="1"/>
  <c r="I28" i="4" s="1"/>
  <c r="J28" i="4" s="1"/>
  <c r="F29" i="4"/>
  <c r="G29" i="4" s="1"/>
  <c r="H29" i="4" s="1"/>
  <c r="I29" i="4" s="1"/>
  <c r="J29" i="4" s="1"/>
  <c r="F30" i="4"/>
  <c r="G30" i="4" s="1"/>
  <c r="H30" i="4" s="1"/>
  <c r="I30" i="4" s="1"/>
  <c r="J30" i="4" s="1"/>
  <c r="F31" i="4"/>
  <c r="G31" i="4" s="1"/>
  <c r="H31" i="4" s="1"/>
  <c r="I31" i="4" s="1"/>
  <c r="J31" i="4" s="1"/>
  <c r="F32" i="4"/>
  <c r="G32" i="4" s="1"/>
  <c r="H32" i="4" s="1"/>
  <c r="I32" i="4" s="1"/>
  <c r="J32" i="4" s="1"/>
  <c r="F33" i="4"/>
  <c r="G33" i="4" s="1"/>
  <c r="H33" i="4" s="1"/>
  <c r="I33" i="4" s="1"/>
  <c r="J33" i="4" s="1"/>
  <c r="F34" i="4"/>
  <c r="G34" i="4" s="1"/>
  <c r="H34" i="4" s="1"/>
  <c r="I34" i="4" s="1"/>
  <c r="J34" i="4" s="1"/>
  <c r="F35" i="4"/>
  <c r="G35" i="4" s="1"/>
  <c r="H35" i="4" s="1"/>
  <c r="I35" i="4" s="1"/>
  <c r="J35" i="4" s="1"/>
  <c r="F36" i="4"/>
  <c r="G36" i="4" s="1"/>
  <c r="H36" i="4" s="1"/>
  <c r="I36" i="4" s="1"/>
  <c r="J36" i="4" s="1"/>
  <c r="F37" i="4"/>
  <c r="G37" i="4" s="1"/>
  <c r="H37" i="4" s="1"/>
  <c r="I37" i="4" s="1"/>
  <c r="J37" i="4" s="1"/>
  <c r="F38" i="4"/>
  <c r="G38" i="4" s="1"/>
  <c r="H38" i="4" s="1"/>
  <c r="I38" i="4" s="1"/>
  <c r="J38" i="4" s="1"/>
  <c r="F10" i="4"/>
  <c r="G10" i="4" s="1"/>
  <c r="H10" i="4" s="1"/>
  <c r="I10" i="4" s="1"/>
  <c r="J10" i="4" s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58" i="1"/>
  <c r="C659" i="1"/>
  <c r="C660" i="1"/>
  <c r="C661" i="1"/>
  <c r="C662" i="1"/>
  <c r="C663" i="1"/>
  <c r="C664" i="1"/>
  <c r="C665" i="1"/>
  <c r="C666" i="1"/>
  <c r="C667" i="1"/>
  <c r="C668" i="1"/>
  <c r="C658" i="1"/>
  <c r="V658" i="1"/>
  <c r="H51" i="4" l="1"/>
  <c r="H59" i="4"/>
</calcChain>
</file>

<file path=xl/sharedStrings.xml><?xml version="1.0" encoding="utf-8"?>
<sst xmlns="http://schemas.openxmlformats.org/spreadsheetml/2006/main" count="3310" uniqueCount="965">
  <si>
    <t>+34:30:00</t>
  </si>
  <si>
    <t>AND</t>
  </si>
  <si>
    <t>LAC</t>
  </si>
  <si>
    <t>PEG</t>
  </si>
  <si>
    <t>+52:30:00</t>
  </si>
  <si>
    <t>CAS</t>
  </si>
  <si>
    <t>+50:00:00</t>
  </si>
  <si>
    <t>+48:00:00</t>
  </si>
  <si>
    <t>+46:00:00</t>
  </si>
  <si>
    <t>PER</t>
  </si>
  <si>
    <t>+47:00:00</t>
  </si>
  <si>
    <t>+50:30:00</t>
  </si>
  <si>
    <t>+36:45:00</t>
  </si>
  <si>
    <t>TRI</t>
  </si>
  <si>
    <t>+35:00:00</t>
  </si>
  <si>
    <t>+33:00:00</t>
  </si>
  <si>
    <t>PSC</t>
  </si>
  <si>
    <t>+23:45:00</t>
  </si>
  <si>
    <t>+21:00:00</t>
  </si>
  <si>
    <t>+22:00:00</t>
  </si>
  <si>
    <t>+28:00:00</t>
  </si>
  <si>
    <t>+31:20:00</t>
  </si>
  <si>
    <t>+32:05:00</t>
  </si>
  <si>
    <t>-24:00:00</t>
  </si>
  <si>
    <t>ANT</t>
  </si>
  <si>
    <t>HYA</t>
  </si>
  <si>
    <t>PYX</t>
  </si>
  <si>
    <t>-36:45:00</t>
  </si>
  <si>
    <t>VEL</t>
  </si>
  <si>
    <t>-39:45:00</t>
  </si>
  <si>
    <t>CEN</t>
  </si>
  <si>
    <t>-35:00:00</t>
  </si>
  <si>
    <t>-31:10:00</t>
  </si>
  <si>
    <t>-29:10:00</t>
  </si>
  <si>
    <t>-26:30:00</t>
  </si>
  <si>
    <t>-82:30:00</t>
  </si>
  <si>
    <t>APS</t>
  </si>
  <si>
    <t>CHA</t>
  </si>
  <si>
    <t>OCT</t>
  </si>
  <si>
    <t>-75:00:00</t>
  </si>
  <si>
    <t>PAV</t>
  </si>
  <si>
    <t>-67:30:00</t>
  </si>
  <si>
    <t>ARA</t>
  </si>
  <si>
    <t>TRA</t>
  </si>
  <si>
    <t>-70:00:00</t>
  </si>
  <si>
    <t>CIR</t>
  </si>
  <si>
    <t>MUS</t>
  </si>
  <si>
    <t>+00:00:00</t>
  </si>
  <si>
    <t>AQR</t>
  </si>
  <si>
    <t>AQL</t>
  </si>
  <si>
    <t>+02:00:00</t>
  </si>
  <si>
    <t>DEL</t>
  </si>
  <si>
    <t>EQU</t>
  </si>
  <si>
    <t>+02:45:00</t>
  </si>
  <si>
    <t>+01:45:00</t>
  </si>
  <si>
    <t>-04:00:00</t>
  </si>
  <si>
    <t>-07:00:00</t>
  </si>
  <si>
    <t>CET</t>
  </si>
  <si>
    <t>-25:30:00</t>
  </si>
  <si>
    <t>SCL</t>
  </si>
  <si>
    <t>PSA</t>
  </si>
  <si>
    <t>CAP</t>
  </si>
  <si>
    <t>-09:00:00</t>
  </si>
  <si>
    <t>-15:00:00</t>
  </si>
  <si>
    <t>SER2</t>
  </si>
  <si>
    <t>+06:15:00</t>
  </si>
  <si>
    <t>OPH</t>
  </si>
  <si>
    <t>+12:00:00</t>
  </si>
  <si>
    <t>HER</t>
  </si>
  <si>
    <t>+18:30:00</t>
  </si>
  <si>
    <t>SGE</t>
  </si>
  <si>
    <t>+16:10:00</t>
  </si>
  <si>
    <t>+15:45:00</t>
  </si>
  <si>
    <t>+08:30:00</t>
  </si>
  <si>
    <t>-12:02:00</t>
  </si>
  <si>
    <t>SGR</t>
  </si>
  <si>
    <t>SCT</t>
  </si>
  <si>
    <t>-60:00:00</t>
  </si>
  <si>
    <t>NOR</t>
  </si>
  <si>
    <t>-45:30:00</t>
  </si>
  <si>
    <t>SCO</t>
  </si>
  <si>
    <t>CRA</t>
  </si>
  <si>
    <t>TEL</t>
  </si>
  <si>
    <t>-57:00:00</t>
  </si>
  <si>
    <t>-65:00:00</t>
  </si>
  <si>
    <t>-63:35:00</t>
  </si>
  <si>
    <t>-61:00:00</t>
  </si>
  <si>
    <t>+09:55:00</t>
  </si>
  <si>
    <t>ARI</t>
  </si>
  <si>
    <t>+25:00:00</t>
  </si>
  <si>
    <t>+27:15:00</t>
  </si>
  <si>
    <t>+30:40:00</t>
  </si>
  <si>
    <t>TAU</t>
  </si>
  <si>
    <t>+19:00:00</t>
  </si>
  <si>
    <t>AUR</t>
  </si>
  <si>
    <t>+36:00:00</t>
  </si>
  <si>
    <t>CAM</t>
  </si>
  <si>
    <t>+56:00:00</t>
  </si>
  <si>
    <t>LYN</t>
  </si>
  <si>
    <t>+54:00:00</t>
  </si>
  <si>
    <t>+44:30:00</t>
  </si>
  <si>
    <t>+35:30:00</t>
  </si>
  <si>
    <t>GEM</t>
  </si>
  <si>
    <t>+28:30:00</t>
  </si>
  <si>
    <t>+30:00:00</t>
  </si>
  <si>
    <t>+08:00:00</t>
  </si>
  <si>
    <t>BOO</t>
  </si>
  <si>
    <t>SER1</t>
  </si>
  <si>
    <t>VIR</t>
  </si>
  <si>
    <t>+15:00:00</t>
  </si>
  <si>
    <t>COM</t>
  </si>
  <si>
    <t>CVN</t>
  </si>
  <si>
    <t>+30:45:00</t>
  </si>
  <si>
    <t>+48:30:00</t>
  </si>
  <si>
    <t>UMA</t>
  </si>
  <si>
    <t>+55:30:00</t>
  </si>
  <si>
    <t>DRA</t>
  </si>
  <si>
    <t>+53:00:00</t>
  </si>
  <si>
    <t>+51:30:00</t>
  </si>
  <si>
    <t>+40:00:00</t>
  </si>
  <si>
    <t>CRB</t>
  </si>
  <si>
    <t>+26:00:00</t>
  </si>
  <si>
    <t>-40:00:00</t>
  </si>
  <si>
    <t>CAE</t>
  </si>
  <si>
    <t>ERI</t>
  </si>
  <si>
    <t>HOR</t>
  </si>
  <si>
    <t>-49:00:00</t>
  </si>
  <si>
    <t>DOR</t>
  </si>
  <si>
    <t>PIC</t>
  </si>
  <si>
    <t>-46:30:00</t>
  </si>
  <si>
    <t>-43:00:00</t>
  </si>
  <si>
    <t>COL</t>
  </si>
  <si>
    <t>-27:15:00</t>
  </si>
  <si>
    <t>LEP</t>
  </si>
  <si>
    <t>-30:00:00</t>
  </si>
  <si>
    <t>-37:00:00</t>
  </si>
  <si>
    <t>+55:00:00</t>
  </si>
  <si>
    <t>+57:00:00</t>
  </si>
  <si>
    <t>+68:00:00</t>
  </si>
  <si>
    <t>+77:00:00</t>
  </si>
  <si>
    <t>CEP</t>
  </si>
  <si>
    <t>+80:00:00</t>
  </si>
  <si>
    <t>+85:00:00</t>
  </si>
  <si>
    <t>+86:30:00</t>
  </si>
  <si>
    <t>UMI</t>
  </si>
  <si>
    <t>+82:00:00</t>
  </si>
  <si>
    <t>+73:30:00</t>
  </si>
  <si>
    <t>+60:00:00</t>
  </si>
  <si>
    <t>+62:00:00</t>
  </si>
  <si>
    <t>+07:00:00</t>
  </si>
  <si>
    <t>CNC</t>
  </si>
  <si>
    <t>LEO</t>
  </si>
  <si>
    <t>CMI</t>
  </si>
  <si>
    <t>+10:00:00</t>
  </si>
  <si>
    <t>+13:30:00</t>
  </si>
  <si>
    <t>+20:00:00</t>
  </si>
  <si>
    <t>+33:30:00</t>
  </si>
  <si>
    <t>LMI</t>
  </si>
  <si>
    <t>+34:00:00</t>
  </si>
  <si>
    <t>+45:00:00</t>
  </si>
  <si>
    <t>+32:00:00</t>
  </si>
  <si>
    <t>-11:00:00</t>
  </si>
  <si>
    <t>CMA</t>
  </si>
  <si>
    <t>MON</t>
  </si>
  <si>
    <t>PUP</t>
  </si>
  <si>
    <t>-33:00:00</t>
  </si>
  <si>
    <t>+01:30:00</t>
  </si>
  <si>
    <t>+05:30:00</t>
  </si>
  <si>
    <t>+12:30:00</t>
  </si>
  <si>
    <t>-28:00:00</t>
  </si>
  <si>
    <t>MIC</t>
  </si>
  <si>
    <t>-56:30:00</t>
  </si>
  <si>
    <t>CAR</t>
  </si>
  <si>
    <t>-54:30:00</t>
  </si>
  <si>
    <t>-53:00:00</t>
  </si>
  <si>
    <t>-50:45:00</t>
  </si>
  <si>
    <t>-52:30:00</t>
  </si>
  <si>
    <t>-55:00:00</t>
  </si>
  <si>
    <t>-58:00:00</t>
  </si>
  <si>
    <t>-64:00:00</t>
  </si>
  <si>
    <t>VOL</t>
  </si>
  <si>
    <t>+56:15:00</t>
  </si>
  <si>
    <t>+59:05:00</t>
  </si>
  <si>
    <t>+63:00:00</t>
  </si>
  <si>
    <t>+66:00:00</t>
  </si>
  <si>
    <t>+58:30:00</t>
  </si>
  <si>
    <t>+57:30:00</t>
  </si>
  <si>
    <t>CRU</t>
  </si>
  <si>
    <t>LUP</t>
  </si>
  <si>
    <t>-42:00:00</t>
  </si>
  <si>
    <t>-29:30:00</t>
  </si>
  <si>
    <t>LIB</t>
  </si>
  <si>
    <t>+59:30:00</t>
  </si>
  <si>
    <t>CYG</t>
  </si>
  <si>
    <t>+61:30:00</t>
  </si>
  <si>
    <t>+67:00:00</t>
  </si>
  <si>
    <t>+75:00:00</t>
  </si>
  <si>
    <t>+86:00:00</t>
  </si>
  <si>
    <t>+86:10:00</t>
  </si>
  <si>
    <t>+88:00:00</t>
  </si>
  <si>
    <t>+52:45:00</t>
  </si>
  <si>
    <t>+54:50:00</t>
  </si>
  <si>
    <t>+60:55:00</t>
  </si>
  <si>
    <t>-01:45:00</t>
  </si>
  <si>
    <t>-24:23:00</t>
  </si>
  <si>
    <t>FOR</t>
  </si>
  <si>
    <t>MEN</t>
  </si>
  <si>
    <t>+14:00:00</t>
  </si>
  <si>
    <t>+29:00:00</t>
  </si>
  <si>
    <t>+27:00:00</t>
  </si>
  <si>
    <t>CRV</t>
  </si>
  <si>
    <t>CRT</t>
  </si>
  <si>
    <t>-24:30:00</t>
  </si>
  <si>
    <t>-22:00:00</t>
  </si>
  <si>
    <t>-06:00:00</t>
  </si>
  <si>
    <t>SEX</t>
  </si>
  <si>
    <t>-19:00:00</t>
  </si>
  <si>
    <t>+27:30:00</t>
  </si>
  <si>
    <t>LYR</t>
  </si>
  <si>
    <t>VUL</t>
  </si>
  <si>
    <t>+36:30:00</t>
  </si>
  <si>
    <t>+43:30:00</t>
  </si>
  <si>
    <t>+47:30:00</t>
  </si>
  <si>
    <t>+58:00:00</t>
  </si>
  <si>
    <t>+44:00:00</t>
  </si>
  <si>
    <t>+43:45:00</t>
  </si>
  <si>
    <t>+20:30:00</t>
  </si>
  <si>
    <t>+19:30:00</t>
  </si>
  <si>
    <t>+11:50:00</t>
  </si>
  <si>
    <t>+06:00:00</t>
  </si>
  <si>
    <t>-53:10:00</t>
  </si>
  <si>
    <t>RET</t>
  </si>
  <si>
    <t>-59:00:00</t>
  </si>
  <si>
    <t>HYI</t>
  </si>
  <si>
    <t>-57:30:00</t>
  </si>
  <si>
    <t>-54:00:00</t>
  </si>
  <si>
    <t>-51:00:00</t>
  </si>
  <si>
    <t>+70:00:00</t>
  </si>
  <si>
    <t>+64:00:00</t>
  </si>
  <si>
    <t>+66:30:00</t>
  </si>
  <si>
    <t>ORI</t>
  </si>
  <si>
    <t>-14:30:00</t>
  </si>
  <si>
    <t>-44:00:00</t>
  </si>
  <si>
    <t>-46:00:00</t>
  </si>
  <si>
    <t>-58:30:00</t>
  </si>
  <si>
    <t>PHE</t>
  </si>
  <si>
    <t>TUC</t>
  </si>
  <si>
    <t>-53:30:00</t>
  </si>
  <si>
    <t>-51:30:00</t>
  </si>
  <si>
    <t>-48:10:00</t>
  </si>
  <si>
    <t>-39:35:00</t>
  </si>
  <si>
    <t>-36:00:00</t>
  </si>
  <si>
    <t>+17:30:00</t>
  </si>
  <si>
    <t>+21:30:00</t>
  </si>
  <si>
    <t>+22:50:00</t>
  </si>
  <si>
    <t>GRU</t>
  </si>
  <si>
    <t>IND</t>
  </si>
  <si>
    <t>-50:00:00</t>
  </si>
  <si>
    <t>+04:00:00</t>
  </si>
  <si>
    <t>+16:00:00</t>
  </si>
  <si>
    <t>+25:30:00</t>
  </si>
  <si>
    <t>+21:05:00</t>
  </si>
  <si>
    <t>+14:20:00</t>
  </si>
  <si>
    <t>+12:50:00</t>
  </si>
  <si>
    <t>-17:00:00</t>
  </si>
  <si>
    <t>-76:00:00</t>
  </si>
  <si>
    <t>+23:30:00</t>
  </si>
  <si>
    <t>+11:00:00</t>
  </si>
  <si>
    <t>+39:45:00</t>
  </si>
  <si>
    <t>+42:00:00</t>
  </si>
  <si>
    <t>-08:00:00</t>
  </si>
  <si>
    <t>-20:00:00</t>
  </si>
  <si>
    <t>-03:15:00</t>
  </si>
  <si>
    <t>-48:00:00</t>
  </si>
  <si>
    <t>-85:00:00</t>
  </si>
  <si>
    <t>+04:30:00</t>
  </si>
  <si>
    <t>+03:00:00</t>
  </si>
  <si>
    <t>-10:00:00</t>
  </si>
  <si>
    <t>-11:40:00</t>
  </si>
  <si>
    <t>-16:00:00</t>
  </si>
  <si>
    <t>-24:35:00</t>
  </si>
  <si>
    <t>-19:15:00</t>
  </si>
  <si>
    <t>-18:15:00</t>
  </si>
  <si>
    <t>+15:30:00</t>
  </si>
  <si>
    <t>+18:00:00</t>
  </si>
  <si>
    <t>+07:30:00</t>
  </si>
  <si>
    <t>+19:10:00</t>
  </si>
  <si>
    <t>+21:15:00</t>
  </si>
  <si>
    <t>ind</t>
  </si>
  <si>
    <t>ra</t>
  </si>
  <si>
    <t>dec</t>
  </si>
  <si>
    <t>con_1</t>
  </si>
  <si>
    <t>con_2</t>
  </si>
  <si>
    <t>con_3</t>
  </si>
  <si>
    <t>Constellation</t>
  </si>
  <si>
    <t>Abbr.</t>
  </si>
  <si>
    <t>English name</t>
  </si>
  <si>
    <t>Area (square degrees)</t>
  </si>
  <si>
    <t>Quadrant</t>
  </si>
  <si>
    <t>Visible between latitudes</t>
  </si>
  <si>
    <t>Andromeda</t>
  </si>
  <si>
    <t>And</t>
  </si>
  <si>
    <t>Andromeda (Princess)</t>
  </si>
  <si>
    <t>NQ1</t>
  </si>
  <si>
    <t>90°N – 40°S</t>
  </si>
  <si>
    <t>Antlia</t>
  </si>
  <si>
    <t>Ant</t>
  </si>
  <si>
    <t>Air Pump</t>
  </si>
  <si>
    <t>SQ2</t>
  </si>
  <si>
    <t>45°N – 90°S</t>
  </si>
  <si>
    <t>Apus</t>
  </si>
  <si>
    <t>Aps</t>
  </si>
  <si>
    <t>Bird of Paradise</t>
  </si>
  <si>
    <t>SQ3</t>
  </si>
  <si>
    <t>5°N – 90°S</t>
  </si>
  <si>
    <t>Aquarius</t>
  </si>
  <si>
    <t>Aqr</t>
  </si>
  <si>
    <t>Water Bearer</t>
  </si>
  <si>
    <t>SQ4</t>
  </si>
  <si>
    <t>65°N – 90°S</t>
  </si>
  <si>
    <t>Aquila</t>
  </si>
  <si>
    <t>Aql</t>
  </si>
  <si>
    <t>Eagle</t>
  </si>
  <si>
    <t>NQ4</t>
  </si>
  <si>
    <t>90°N – 75°S</t>
  </si>
  <si>
    <t>Ara</t>
  </si>
  <si>
    <t>Altar</t>
  </si>
  <si>
    <t>25°N – 90°S</t>
  </si>
  <si>
    <t>Aries</t>
  </si>
  <si>
    <t>Ari</t>
  </si>
  <si>
    <t>Ram</t>
  </si>
  <si>
    <t>90°N – 60°S</t>
  </si>
  <si>
    <t>Auriga</t>
  </si>
  <si>
    <t>Aur</t>
  </si>
  <si>
    <t>Charioteer</t>
  </si>
  <si>
    <t>NQ2</t>
  </si>
  <si>
    <t>Boötes</t>
  </si>
  <si>
    <t>Boo</t>
  </si>
  <si>
    <t>Herdsman</t>
  </si>
  <si>
    <t>NQ3</t>
  </si>
  <si>
    <t>90°N – 50°S</t>
  </si>
  <si>
    <t>Caelum</t>
  </si>
  <si>
    <t>Cae</t>
  </si>
  <si>
    <t>Chisel</t>
  </si>
  <si>
    <t>SQ1</t>
  </si>
  <si>
    <t>40°N – 90°S</t>
  </si>
  <si>
    <t>Camelopardalis</t>
  </si>
  <si>
    <t>Cam</t>
  </si>
  <si>
    <t>Giraffe</t>
  </si>
  <si>
    <t>90°N – 10°S</t>
  </si>
  <si>
    <t>Cancer</t>
  </si>
  <si>
    <t>Cnc</t>
  </si>
  <si>
    <t>Crab</t>
  </si>
  <si>
    <t>Canes Venatici</t>
  </si>
  <si>
    <t>CVn</t>
  </si>
  <si>
    <t>Hunting Dogs</t>
  </si>
  <si>
    <t>Canis Major</t>
  </si>
  <si>
    <t>CMa</t>
  </si>
  <si>
    <t>Greater Dog</t>
  </si>
  <si>
    <t>60°N – 90°S</t>
  </si>
  <si>
    <t>Canis Minor</t>
  </si>
  <si>
    <t>CMi</t>
  </si>
  <si>
    <t>Lesser Dog</t>
  </si>
  <si>
    <t>Capricornus</t>
  </si>
  <si>
    <t>Cap</t>
  </si>
  <si>
    <t>Sea Goat</t>
  </si>
  <si>
    <t>Carina</t>
  </si>
  <si>
    <t>Car</t>
  </si>
  <si>
    <t>Keel</t>
  </si>
  <si>
    <t>20°N – 90°S</t>
  </si>
  <si>
    <t>Cassiopeia</t>
  </si>
  <si>
    <t>Cas</t>
  </si>
  <si>
    <t>Cassiopeia (Queen)</t>
  </si>
  <si>
    <t>90°N – 20°S</t>
  </si>
  <si>
    <t>Centaurus</t>
  </si>
  <si>
    <t>Cen</t>
  </si>
  <si>
    <t>Centaur</t>
  </si>
  <si>
    <t>Cepheus</t>
  </si>
  <si>
    <t>Cep</t>
  </si>
  <si>
    <t>Cepheus (King)</t>
  </si>
  <si>
    <t>Cetus</t>
  </si>
  <si>
    <t>Cet</t>
  </si>
  <si>
    <t>Whale (Sea Monster)</t>
  </si>
  <si>
    <t>70°N – 90°S</t>
  </si>
  <si>
    <t>Chamaeleon</t>
  </si>
  <si>
    <t>Cha</t>
  </si>
  <si>
    <t>Chameleon</t>
  </si>
  <si>
    <t>0° – 90°S</t>
  </si>
  <si>
    <t>Circinus</t>
  </si>
  <si>
    <t>Cir</t>
  </si>
  <si>
    <t>Compass (drafting tool)</t>
  </si>
  <si>
    <t>30°N – 90°S</t>
  </si>
  <si>
    <t>Columba</t>
  </si>
  <si>
    <t>Col</t>
  </si>
  <si>
    <t>Dove</t>
  </si>
  <si>
    <t>Coma Berenices</t>
  </si>
  <si>
    <t>Com</t>
  </si>
  <si>
    <t>Berenice’s Hair</t>
  </si>
  <si>
    <t>90°N – 70°S</t>
  </si>
  <si>
    <t>Corona Australis</t>
  </si>
  <si>
    <t>CrA</t>
  </si>
  <si>
    <t>Southern Crown</t>
  </si>
  <si>
    <t>Corona Borealis</t>
  </si>
  <si>
    <t>CrB</t>
  </si>
  <si>
    <t>Northern Crown</t>
  </si>
  <si>
    <t>Corvus</t>
  </si>
  <si>
    <t>Crv</t>
  </si>
  <si>
    <t>Crow</t>
  </si>
  <si>
    <t>Crater</t>
  </si>
  <si>
    <t>Crt</t>
  </si>
  <si>
    <t>Cup</t>
  </si>
  <si>
    <t>Crux</t>
  </si>
  <si>
    <t>Cru</t>
  </si>
  <si>
    <t>Southern Cross</t>
  </si>
  <si>
    <t>Cygnus</t>
  </si>
  <si>
    <t>Cyg</t>
  </si>
  <si>
    <t>Swan</t>
  </si>
  <si>
    <t>Delphinus</t>
  </si>
  <si>
    <t>Del</t>
  </si>
  <si>
    <t>Dolphin</t>
  </si>
  <si>
    <t>Dorado</t>
  </si>
  <si>
    <t>Dor</t>
  </si>
  <si>
    <t>Dolphinfish</t>
  </si>
  <si>
    <t>Draco</t>
  </si>
  <si>
    <t>Dra</t>
  </si>
  <si>
    <t>Dragon</t>
  </si>
  <si>
    <t>90°N – 15°S</t>
  </si>
  <si>
    <t>Equuleus</t>
  </si>
  <si>
    <t>Equ</t>
  </si>
  <si>
    <t>Little Horse (Foal)</t>
  </si>
  <si>
    <t>90°N – 80°S</t>
  </si>
  <si>
    <t>Eridanus</t>
  </si>
  <si>
    <t>Eri</t>
  </si>
  <si>
    <t>Eridanus (River)</t>
  </si>
  <si>
    <t>32°N – 90°S</t>
  </si>
  <si>
    <t>Fornax</t>
  </si>
  <si>
    <t>For</t>
  </si>
  <si>
    <t>Furnace</t>
  </si>
  <si>
    <t>50°N – 90°S</t>
  </si>
  <si>
    <t>Gemini</t>
  </si>
  <si>
    <t>Gem</t>
  </si>
  <si>
    <t>Twins</t>
  </si>
  <si>
    <t>Grus</t>
  </si>
  <si>
    <t>Gru</t>
  </si>
  <si>
    <t>Crane</t>
  </si>
  <si>
    <t>34°N – 90°S</t>
  </si>
  <si>
    <t>Hercules</t>
  </si>
  <si>
    <t>Her</t>
  </si>
  <si>
    <t>Horologium</t>
  </si>
  <si>
    <t>Hor</t>
  </si>
  <si>
    <t>Pendulum Clock</t>
  </si>
  <si>
    <t>Hydra</t>
  </si>
  <si>
    <t>Hya</t>
  </si>
  <si>
    <t>Water Snake</t>
  </si>
  <si>
    <t>54°N – 83°S</t>
  </si>
  <si>
    <t>Hydrus</t>
  </si>
  <si>
    <t>Hyi</t>
  </si>
  <si>
    <t>Lesser Water Snake</t>
  </si>
  <si>
    <t>8°N – 90°S</t>
  </si>
  <si>
    <t>Indus</t>
  </si>
  <si>
    <t>Ind</t>
  </si>
  <si>
    <t>Indian</t>
  </si>
  <si>
    <t>15°N – 90°S</t>
  </si>
  <si>
    <t>Lacerta</t>
  </si>
  <si>
    <t>Lac</t>
  </si>
  <si>
    <t>Lizard</t>
  </si>
  <si>
    <t>Leo</t>
  </si>
  <si>
    <t>Lion</t>
  </si>
  <si>
    <t>90°N – 65°S</t>
  </si>
  <si>
    <t>Leo Minor</t>
  </si>
  <si>
    <t>LMi</t>
  </si>
  <si>
    <t>Lesser Lion</t>
  </si>
  <si>
    <t>90°N – 45°S</t>
  </si>
  <si>
    <t>Lepus</t>
  </si>
  <si>
    <t>Lep</t>
  </si>
  <si>
    <t>Hare</t>
  </si>
  <si>
    <t>63°N – 90°S</t>
  </si>
  <si>
    <t>Libra</t>
  </si>
  <si>
    <t>Lib</t>
  </si>
  <si>
    <t>Scales</t>
  </si>
  <si>
    <t>Lupus</t>
  </si>
  <si>
    <t>Lup</t>
  </si>
  <si>
    <t>Wolf</t>
  </si>
  <si>
    <t>35°N – 90°S</t>
  </si>
  <si>
    <t>Lynx</t>
  </si>
  <si>
    <t>Lyn</t>
  </si>
  <si>
    <t>90°N – 55°S</t>
  </si>
  <si>
    <t>Lyra</t>
  </si>
  <si>
    <t>Lyr</t>
  </si>
  <si>
    <t>Lyre (Harp)</t>
  </si>
  <si>
    <t>Mensa</t>
  </si>
  <si>
    <t>Men</t>
  </si>
  <si>
    <t>Table Mountain (Mons Mensae)</t>
  </si>
  <si>
    <t>4°N – 90°S</t>
  </si>
  <si>
    <t>Microscopium</t>
  </si>
  <si>
    <t>Mic</t>
  </si>
  <si>
    <t>Microscope</t>
  </si>
  <si>
    <t>Monoceros</t>
  </si>
  <si>
    <t>Mon</t>
  </si>
  <si>
    <t>Unicorn</t>
  </si>
  <si>
    <t>75°N – 90°S</t>
  </si>
  <si>
    <t>Musca</t>
  </si>
  <si>
    <t>Mus</t>
  </si>
  <si>
    <t>Fly</t>
  </si>
  <si>
    <t>10°N – 90°S</t>
  </si>
  <si>
    <t>Norma</t>
  </si>
  <si>
    <t>Nor</t>
  </si>
  <si>
    <t>Level</t>
  </si>
  <si>
    <t>Octans</t>
  </si>
  <si>
    <t>Oct</t>
  </si>
  <si>
    <t>Octant</t>
  </si>
  <si>
    <t>0°- 90°S</t>
  </si>
  <si>
    <t>Ophiuchus</t>
  </si>
  <si>
    <t>Oph</t>
  </si>
  <si>
    <t>Serpent Bearer</t>
  </si>
  <si>
    <t>80°N – 80°S</t>
  </si>
  <si>
    <t>Orion</t>
  </si>
  <si>
    <t>Ori</t>
  </si>
  <si>
    <t>Orion (the Hunter)</t>
  </si>
  <si>
    <t>85°N – 75°S</t>
  </si>
  <si>
    <t>Pavo</t>
  </si>
  <si>
    <t>Pav</t>
  </si>
  <si>
    <t>Peacock</t>
  </si>
  <si>
    <t>Pegasus</t>
  </si>
  <si>
    <t>Peg</t>
  </si>
  <si>
    <t>Perseus</t>
  </si>
  <si>
    <t>Per</t>
  </si>
  <si>
    <t>90°N – 35°S</t>
  </si>
  <si>
    <t>Phoenix</t>
  </si>
  <si>
    <t>Phe</t>
  </si>
  <si>
    <t>32°N – 80°S</t>
  </si>
  <si>
    <t>Pictor</t>
  </si>
  <si>
    <t>Pic</t>
  </si>
  <si>
    <t>Easel</t>
  </si>
  <si>
    <t>26°N – 90°S</t>
  </si>
  <si>
    <t>Pisces</t>
  </si>
  <si>
    <t>Psc</t>
  </si>
  <si>
    <t>Fishes</t>
  </si>
  <si>
    <t>Piscis Austrinus</t>
  </si>
  <si>
    <t>PsA</t>
  </si>
  <si>
    <t>Southern Fish</t>
  </si>
  <si>
    <t>55°N – 90°S</t>
  </si>
  <si>
    <t>Puppis</t>
  </si>
  <si>
    <t>Pup</t>
  </si>
  <si>
    <t>Stern</t>
  </si>
  <si>
    <t>Pyxis</t>
  </si>
  <si>
    <t>Pyx</t>
  </si>
  <si>
    <t>Compass (mariner’s compass)</t>
  </si>
  <si>
    <t>Reticulum</t>
  </si>
  <si>
    <t>Ret</t>
  </si>
  <si>
    <t>Reticle</t>
  </si>
  <si>
    <t>23°N – 90°S</t>
  </si>
  <si>
    <t>Sagitta</t>
  </si>
  <si>
    <t>Sge</t>
  </si>
  <si>
    <t>Arrow</t>
  </si>
  <si>
    <t>Sagittarius</t>
  </si>
  <si>
    <t>Sgr</t>
  </si>
  <si>
    <t>Archer</t>
  </si>
  <si>
    <t>Scorpius</t>
  </si>
  <si>
    <t>Sco</t>
  </si>
  <si>
    <t>Scorpion</t>
  </si>
  <si>
    <t>Sculptor</t>
  </si>
  <si>
    <t>Scl</t>
  </si>
  <si>
    <t>Scutum</t>
  </si>
  <si>
    <t>Sct</t>
  </si>
  <si>
    <t>Shield (of Sobieski)</t>
  </si>
  <si>
    <t>80°N – 90°S</t>
  </si>
  <si>
    <t>Serpens</t>
  </si>
  <si>
    <t>Ser</t>
  </si>
  <si>
    <t>Snake</t>
  </si>
  <si>
    <t>Sextans</t>
  </si>
  <si>
    <t>Sex</t>
  </si>
  <si>
    <t>Sextant</t>
  </si>
  <si>
    <t>Taurus</t>
  </si>
  <si>
    <t>Tau</t>
  </si>
  <si>
    <t>Bull</t>
  </si>
  <si>
    <t>Telescopium</t>
  </si>
  <si>
    <t>Tel</t>
  </si>
  <si>
    <t>Telescope</t>
  </si>
  <si>
    <t>Triangulum</t>
  </si>
  <si>
    <t>Tri</t>
  </si>
  <si>
    <t>Triangle</t>
  </si>
  <si>
    <t>Triangulum Australe</t>
  </si>
  <si>
    <t>TrA</t>
  </si>
  <si>
    <t>Southern Triangle</t>
  </si>
  <si>
    <t>Tucana</t>
  </si>
  <si>
    <t>Tuc</t>
  </si>
  <si>
    <t>Toucan</t>
  </si>
  <si>
    <t>Ursa Major</t>
  </si>
  <si>
    <t>UMa</t>
  </si>
  <si>
    <t>Great Bear</t>
  </si>
  <si>
    <t>90°N – 30°S</t>
  </si>
  <si>
    <t>Ursa Minor</t>
  </si>
  <si>
    <t>UMi</t>
  </si>
  <si>
    <t>Little Bear</t>
  </si>
  <si>
    <t>Vela</t>
  </si>
  <si>
    <t>Vel</t>
  </si>
  <si>
    <t>Sails</t>
  </si>
  <si>
    <t>Virgo</t>
  </si>
  <si>
    <t>Vir</t>
  </si>
  <si>
    <t>Virgin (Maiden)</t>
  </si>
  <si>
    <t>Volans</t>
  </si>
  <si>
    <t>Vol</t>
  </si>
  <si>
    <t>Flying Fish</t>
  </si>
  <si>
    <t>Vulpecula</t>
  </si>
  <si>
    <t>Vul</t>
  </si>
  <si>
    <t>Fox</t>
  </si>
  <si>
    <t xml:space="preserve">	aqua</t>
  </si>
  <si>
    <t xml:space="preserve">	#00FFFF</t>
  </si>
  <si>
    <t xml:space="preserve">	Shades</t>
  </si>
  <si>
    <t xml:space="preserve">	black</t>
  </si>
  <si>
    <t xml:space="preserve">	#000000</t>
  </si>
  <si>
    <t xml:space="preserve">	blue</t>
  </si>
  <si>
    <t xml:space="preserve">	#0000FF</t>
  </si>
  <si>
    <t xml:space="preserve">	fuchsia</t>
  </si>
  <si>
    <t xml:space="preserve">	#FF00FF</t>
  </si>
  <si>
    <t xml:space="preserve">	gray</t>
  </si>
  <si>
    <t xml:space="preserve">	green</t>
  </si>
  <si>
    <t xml:space="preserve">	#008000</t>
  </si>
  <si>
    <t xml:space="preserve">	lime</t>
  </si>
  <si>
    <t xml:space="preserve">	#00FF00</t>
  </si>
  <si>
    <t xml:space="preserve">	maroon</t>
  </si>
  <si>
    <t xml:space="preserve">	#800000</t>
  </si>
  <si>
    <t xml:space="preserve">	navy</t>
  </si>
  <si>
    <t xml:space="preserve">	#000080</t>
  </si>
  <si>
    <t xml:space="preserve">	olive</t>
  </si>
  <si>
    <t xml:space="preserve">	#808000</t>
  </si>
  <si>
    <t xml:space="preserve">	purple</t>
  </si>
  <si>
    <t xml:space="preserve">	#800080</t>
  </si>
  <si>
    <t xml:space="preserve">	red</t>
  </si>
  <si>
    <t xml:space="preserve">	#FF0000</t>
  </si>
  <si>
    <t xml:space="preserve">	silver</t>
  </si>
  <si>
    <t xml:space="preserve">	#C0C0C0</t>
  </si>
  <si>
    <t xml:space="preserve">	teal</t>
  </si>
  <si>
    <t xml:space="preserve">	#008080</t>
  </si>
  <si>
    <t xml:space="preserve">	white</t>
  </si>
  <si>
    <t xml:space="preserve">	#FFFFFF</t>
  </si>
  <si>
    <t xml:space="preserve">	yellow</t>
  </si>
  <si>
    <t xml:space="preserve">	#FFFF00</t>
  </si>
  <si>
    <t xml:space="preserve">	aliceblue</t>
  </si>
  <si>
    <t xml:space="preserve">	#F0F8FF</t>
  </si>
  <si>
    <t xml:space="preserve">	antiquewhite</t>
  </si>
  <si>
    <t xml:space="preserve">	#FAEBD7</t>
  </si>
  <si>
    <t xml:space="preserve">	aquamarine</t>
  </si>
  <si>
    <t xml:space="preserve">	#7FFFD4</t>
  </si>
  <si>
    <t xml:space="preserve">	azure</t>
  </si>
  <si>
    <t xml:space="preserve">	#F0FFFF</t>
  </si>
  <si>
    <t xml:space="preserve">	beige</t>
  </si>
  <si>
    <t xml:space="preserve">	#F5F5DC</t>
  </si>
  <si>
    <t xml:space="preserve">	bisque</t>
  </si>
  <si>
    <t xml:space="preserve">	#FFE4C4</t>
  </si>
  <si>
    <t xml:space="preserve">	blanchedalmond</t>
  </si>
  <si>
    <t xml:space="preserve">	#FFEBCD</t>
  </si>
  <si>
    <t xml:space="preserve">	blueviolet</t>
  </si>
  <si>
    <t xml:space="preserve">	#8A2BE2</t>
  </si>
  <si>
    <t xml:space="preserve">	brown</t>
  </si>
  <si>
    <t xml:space="preserve">	#A52A2A</t>
  </si>
  <si>
    <t xml:space="preserve">	burlywood</t>
  </si>
  <si>
    <t xml:space="preserve">	#DEB887</t>
  </si>
  <si>
    <t xml:space="preserve">	cadetblue</t>
  </si>
  <si>
    <t xml:space="preserve">	#5F9EA0</t>
  </si>
  <si>
    <t xml:space="preserve">	chartreuse</t>
  </si>
  <si>
    <t xml:space="preserve">	#7FFF00</t>
  </si>
  <si>
    <t xml:space="preserve">	chocolate</t>
  </si>
  <si>
    <t xml:space="preserve">	#D2691E</t>
  </si>
  <si>
    <t xml:space="preserve">	coral</t>
  </si>
  <si>
    <t xml:space="preserve">	#FF7F50</t>
  </si>
  <si>
    <t xml:space="preserve">	cornflowerblue</t>
  </si>
  <si>
    <t xml:space="preserve">	#6495ED</t>
  </si>
  <si>
    <t xml:space="preserve">	cornsilk</t>
  </si>
  <si>
    <t xml:space="preserve">	#FFF8DC</t>
  </si>
  <si>
    <t xml:space="preserve">	crimson</t>
  </si>
  <si>
    <t xml:space="preserve">	#DC143C</t>
  </si>
  <si>
    <t xml:space="preserve">	cyan</t>
  </si>
  <si>
    <t xml:space="preserve">	darkblue</t>
  </si>
  <si>
    <t xml:space="preserve">	#00008B</t>
  </si>
  <si>
    <t xml:space="preserve">	darkcyan</t>
  </si>
  <si>
    <t xml:space="preserve">	#008B8B</t>
  </si>
  <si>
    <t xml:space="preserve">	darkgoldenrod</t>
  </si>
  <si>
    <t xml:space="preserve">	#B8860B</t>
  </si>
  <si>
    <t xml:space="preserve">	darkgray</t>
  </si>
  <si>
    <t xml:space="preserve">	#A9A9A9</t>
  </si>
  <si>
    <t xml:space="preserve">	darkgreen</t>
  </si>
  <si>
    <t xml:space="preserve">	#006400</t>
  </si>
  <si>
    <t xml:space="preserve">	darkkhaki</t>
  </si>
  <si>
    <t xml:space="preserve">	#BDB76B</t>
  </si>
  <si>
    <t xml:space="preserve">	darkmagenta</t>
  </si>
  <si>
    <t xml:space="preserve">	#8B008B</t>
  </si>
  <si>
    <t xml:space="preserve">	darkolivegreen</t>
  </si>
  <si>
    <t xml:space="preserve">	#556B2F</t>
  </si>
  <si>
    <t xml:space="preserve">	darkorange</t>
  </si>
  <si>
    <t xml:space="preserve">	#FF8C00</t>
  </si>
  <si>
    <t xml:space="preserve">	darkorchid</t>
  </si>
  <si>
    <t xml:space="preserve">	#9932CC</t>
  </si>
  <si>
    <t xml:space="preserve">	darkred</t>
  </si>
  <si>
    <t xml:space="preserve">	#8B0000</t>
  </si>
  <si>
    <t xml:space="preserve">	darksalmon</t>
  </si>
  <si>
    <t xml:space="preserve">	#E9967A</t>
  </si>
  <si>
    <t xml:space="preserve">	darkseagreen</t>
  </si>
  <si>
    <t xml:space="preserve">	#8FBC8F</t>
  </si>
  <si>
    <t xml:space="preserve">	darkslateblue</t>
  </si>
  <si>
    <t xml:space="preserve">	#483D8B</t>
  </si>
  <si>
    <t xml:space="preserve">	darkslategray</t>
  </si>
  <si>
    <t xml:space="preserve">	#2F4F4F</t>
  </si>
  <si>
    <t xml:space="preserve">	darkturquoise</t>
  </si>
  <si>
    <t xml:space="preserve">	#00CED1</t>
  </si>
  <si>
    <t xml:space="preserve">	darkviolet</t>
  </si>
  <si>
    <t xml:space="preserve">	#9400D3</t>
  </si>
  <si>
    <t xml:space="preserve">	deeppink</t>
  </si>
  <si>
    <t xml:space="preserve">	#FF1493</t>
  </si>
  <si>
    <t xml:space="preserve">	deepskyblue</t>
  </si>
  <si>
    <t xml:space="preserve">	#00BFFF</t>
  </si>
  <si>
    <t xml:space="preserve">	dimgray</t>
  </si>
  <si>
    <t xml:space="preserve">	#696969</t>
  </si>
  <si>
    <t xml:space="preserve">	dodgerblue</t>
  </si>
  <si>
    <t xml:space="preserve">	#1E90FF</t>
  </si>
  <si>
    <t xml:space="preserve">	firebrick</t>
  </si>
  <si>
    <t xml:space="preserve">	#B22222</t>
  </si>
  <si>
    <t xml:space="preserve">	floralwhite</t>
  </si>
  <si>
    <t xml:space="preserve">	#FFFAF0</t>
  </si>
  <si>
    <t xml:space="preserve">	forestgreen</t>
  </si>
  <si>
    <t xml:space="preserve">	#228B22</t>
  </si>
  <si>
    <t xml:space="preserve">	gainsboro</t>
  </si>
  <si>
    <t xml:space="preserve">	#DCDCDC</t>
  </si>
  <si>
    <t xml:space="preserve">	ghostwhite</t>
  </si>
  <si>
    <t xml:space="preserve">	#F8F8FF</t>
  </si>
  <si>
    <t xml:space="preserve">	gold</t>
  </si>
  <si>
    <t xml:space="preserve">	#FFD700</t>
  </si>
  <si>
    <t xml:space="preserve">	goldenrod</t>
  </si>
  <si>
    <t xml:space="preserve">	#DAA520</t>
  </si>
  <si>
    <t xml:space="preserve">	#7F7F7F</t>
  </si>
  <si>
    <t xml:space="preserve">	greenyellow</t>
  </si>
  <si>
    <t xml:space="preserve">	#ADFF2F</t>
  </si>
  <si>
    <t xml:space="preserve">	honeydew</t>
  </si>
  <si>
    <t xml:space="preserve">	#F0FFF0</t>
  </si>
  <si>
    <t xml:space="preserve">	hotpink</t>
  </si>
  <si>
    <t xml:space="preserve">	#FF69B4</t>
  </si>
  <si>
    <t xml:space="preserve">	indianred</t>
  </si>
  <si>
    <t xml:space="preserve">	#CD5C5C</t>
  </si>
  <si>
    <t xml:space="preserve">	indigo</t>
  </si>
  <si>
    <t xml:space="preserve">	#4B0082</t>
  </si>
  <si>
    <t xml:space="preserve">	ivory</t>
  </si>
  <si>
    <t xml:space="preserve">	#FFFFF0</t>
  </si>
  <si>
    <t xml:space="preserve">	khaki</t>
  </si>
  <si>
    <t xml:space="preserve">	#F0E68C</t>
  </si>
  <si>
    <t xml:space="preserve">	lavender</t>
  </si>
  <si>
    <t xml:space="preserve">	#E6E6FA</t>
  </si>
  <si>
    <t xml:space="preserve">	lavenderblush</t>
  </si>
  <si>
    <t xml:space="preserve">	#FFF0F5</t>
  </si>
  <si>
    <t xml:space="preserve">	lawngreen</t>
  </si>
  <si>
    <t xml:space="preserve">	#7CFC00</t>
  </si>
  <si>
    <t xml:space="preserve">	lemonchiffon</t>
  </si>
  <si>
    <t xml:space="preserve">	#FFFACD</t>
  </si>
  <si>
    <t xml:space="preserve">	lightblue</t>
  </si>
  <si>
    <t xml:space="preserve">	#ADD8E6</t>
  </si>
  <si>
    <t xml:space="preserve">	lightcoral</t>
  </si>
  <si>
    <t xml:space="preserve">	#F08080</t>
  </si>
  <si>
    <t xml:space="preserve">	lightcyan</t>
  </si>
  <si>
    <t xml:space="preserve">	#E0FFFF</t>
  </si>
  <si>
    <t xml:space="preserve">	lightgoldenrodyellow</t>
  </si>
  <si>
    <t xml:space="preserve">	#FAFAD2</t>
  </si>
  <si>
    <t xml:space="preserve">	lightgreen</t>
  </si>
  <si>
    <t xml:space="preserve">	#90EE90</t>
  </si>
  <si>
    <t xml:space="preserve">	lightgrey</t>
  </si>
  <si>
    <t xml:space="preserve">	#D3D3D3</t>
  </si>
  <si>
    <t xml:space="preserve">	lightpink</t>
  </si>
  <si>
    <t xml:space="preserve">	#FFB6C1</t>
  </si>
  <si>
    <t xml:space="preserve">	lightsalmon</t>
  </si>
  <si>
    <t xml:space="preserve">	#FFA07A</t>
  </si>
  <si>
    <t xml:space="preserve">	lightseagreen</t>
  </si>
  <si>
    <t xml:space="preserve">	#20B2AA</t>
  </si>
  <si>
    <t xml:space="preserve">	lightskyblue</t>
  </si>
  <si>
    <t xml:space="preserve">	#87CEFA</t>
  </si>
  <si>
    <t xml:space="preserve">	lightslategray</t>
  </si>
  <si>
    <t xml:space="preserve">	#778899</t>
  </si>
  <si>
    <t xml:space="preserve">	lightsteelblue</t>
  </si>
  <si>
    <t xml:space="preserve">	#B0C4DE</t>
  </si>
  <si>
    <t xml:space="preserve">	lightyellow</t>
  </si>
  <si>
    <t xml:space="preserve">	#FFFFE0</t>
  </si>
  <si>
    <t xml:space="preserve">	limegreen</t>
  </si>
  <si>
    <t xml:space="preserve">	#32CD32</t>
  </si>
  <si>
    <t xml:space="preserve">	linen</t>
  </si>
  <si>
    <t xml:space="preserve">	#FAF0E6</t>
  </si>
  <si>
    <t xml:space="preserve">	magenta</t>
  </si>
  <si>
    <t xml:space="preserve">	mediumaquamarine</t>
  </si>
  <si>
    <t xml:space="preserve">	#66CDAA</t>
  </si>
  <si>
    <t xml:space="preserve">	mediumblue</t>
  </si>
  <si>
    <t xml:space="preserve">	#0000CD</t>
  </si>
  <si>
    <t xml:space="preserve">	mediumorchid</t>
  </si>
  <si>
    <t xml:space="preserve">	#BA55D3</t>
  </si>
  <si>
    <t xml:space="preserve">	mediumpurple</t>
  </si>
  <si>
    <t xml:space="preserve">	#9370DB</t>
  </si>
  <si>
    <t xml:space="preserve">	mediumseagreen</t>
  </si>
  <si>
    <t xml:space="preserve">	#3CB371</t>
  </si>
  <si>
    <t xml:space="preserve">	mediumslateblue</t>
  </si>
  <si>
    <t xml:space="preserve">	#7B68EE</t>
  </si>
  <si>
    <t xml:space="preserve">	mediumspringgreen</t>
  </si>
  <si>
    <t xml:space="preserve">	#00FA9A</t>
  </si>
  <si>
    <t xml:space="preserve">	mediumturquoise</t>
  </si>
  <si>
    <t xml:space="preserve">	#48D1CC</t>
  </si>
  <si>
    <t xml:space="preserve">	mediumvioletred</t>
  </si>
  <si>
    <t xml:space="preserve">	#C71585</t>
  </si>
  <si>
    <t xml:space="preserve">	midnightblue</t>
  </si>
  <si>
    <t xml:space="preserve">	#191970</t>
  </si>
  <si>
    <t xml:space="preserve">	mintcream</t>
  </si>
  <si>
    <t xml:space="preserve">	#F5FFFA</t>
  </si>
  <si>
    <t xml:space="preserve">	mistyrose</t>
  </si>
  <si>
    <t xml:space="preserve">	#FFE4E1</t>
  </si>
  <si>
    <t xml:space="preserve">	moccasin</t>
  </si>
  <si>
    <t xml:space="preserve">	#FFE4B5</t>
  </si>
  <si>
    <t xml:space="preserve">	navajowhite</t>
  </si>
  <si>
    <t xml:space="preserve">	#FFDEAD</t>
  </si>
  <si>
    <t xml:space="preserve">	navyblue</t>
  </si>
  <si>
    <t xml:space="preserve">	#9FAFDF</t>
  </si>
  <si>
    <t xml:space="preserve">	oldlace</t>
  </si>
  <si>
    <t xml:space="preserve">	#FDF5E6</t>
  </si>
  <si>
    <t xml:space="preserve">	olivedrab</t>
  </si>
  <si>
    <t xml:space="preserve">	#6B8E23</t>
  </si>
  <si>
    <t xml:space="preserve">	orange</t>
  </si>
  <si>
    <t xml:space="preserve">	#FFA500</t>
  </si>
  <si>
    <t xml:space="preserve">	orangered</t>
  </si>
  <si>
    <t xml:space="preserve">	#FF4500</t>
  </si>
  <si>
    <t xml:space="preserve">	orchid</t>
  </si>
  <si>
    <t xml:space="preserve">	#DA70D6</t>
  </si>
  <si>
    <t xml:space="preserve">	palegoldenrod</t>
  </si>
  <si>
    <t xml:space="preserve">	#EEE8AA</t>
  </si>
  <si>
    <t xml:space="preserve">	palegreen</t>
  </si>
  <si>
    <t xml:space="preserve">	#98FB98</t>
  </si>
  <si>
    <t xml:space="preserve">	paleturquoise</t>
  </si>
  <si>
    <t xml:space="preserve">	#AFEEEE</t>
  </si>
  <si>
    <t xml:space="preserve">	palevioletred</t>
  </si>
  <si>
    <t xml:space="preserve">	#DB7093</t>
  </si>
  <si>
    <t xml:space="preserve">	papayawhip</t>
  </si>
  <si>
    <t xml:space="preserve">	#FFEFD5</t>
  </si>
  <si>
    <t xml:space="preserve">	peachpuff</t>
  </si>
  <si>
    <t xml:space="preserve">	#FFDAB9</t>
  </si>
  <si>
    <t xml:space="preserve">	peru</t>
  </si>
  <si>
    <t xml:space="preserve">	#CD853F</t>
  </si>
  <si>
    <t xml:space="preserve">	pink</t>
  </si>
  <si>
    <t xml:space="preserve">	#FFC0CB</t>
  </si>
  <si>
    <t xml:space="preserve">	plum</t>
  </si>
  <si>
    <t xml:space="preserve">	#DDA0DD</t>
  </si>
  <si>
    <t xml:space="preserve">	powderblue</t>
  </si>
  <si>
    <t xml:space="preserve">	#B0E0E6</t>
  </si>
  <si>
    <t xml:space="preserve">	rosybrown</t>
  </si>
  <si>
    <t xml:space="preserve">	#BC8F8F</t>
  </si>
  <si>
    <t xml:space="preserve">	royalblue</t>
  </si>
  <si>
    <t xml:space="preserve">	#4169E1</t>
  </si>
  <si>
    <t xml:space="preserve">	saddlebrown</t>
  </si>
  <si>
    <t xml:space="preserve">	#8B4513</t>
  </si>
  <si>
    <t xml:space="preserve">	salmon</t>
  </si>
  <si>
    <t xml:space="preserve">	#FA8072</t>
  </si>
  <si>
    <t xml:space="preserve">	sandybrown</t>
  </si>
  <si>
    <t xml:space="preserve">	#F4A460</t>
  </si>
  <si>
    <t xml:space="preserve">	seagreen</t>
  </si>
  <si>
    <t xml:space="preserve">	#2E8B57</t>
  </si>
  <si>
    <t xml:space="preserve">	seashell</t>
  </si>
  <si>
    <t xml:space="preserve">	#FFF5EE</t>
  </si>
  <si>
    <t xml:space="preserve">	sienna</t>
  </si>
  <si>
    <t xml:space="preserve">	#A0522D</t>
  </si>
  <si>
    <t xml:space="preserve">	skyblue</t>
  </si>
  <si>
    <t xml:space="preserve">	#87CEEB</t>
  </si>
  <si>
    <t xml:space="preserve">	slateblue</t>
  </si>
  <si>
    <t xml:space="preserve">	#6A5ACD</t>
  </si>
  <si>
    <t xml:space="preserve">	slategray</t>
  </si>
  <si>
    <t xml:space="preserve">	#708090</t>
  </si>
  <si>
    <t xml:space="preserve">	snow</t>
  </si>
  <si>
    <t xml:space="preserve">	#FFFAFA</t>
  </si>
  <si>
    <t xml:space="preserve">	springgreen</t>
  </si>
  <si>
    <t xml:space="preserve">	#00FF7F</t>
  </si>
  <si>
    <t xml:space="preserve">	steelblue</t>
  </si>
  <si>
    <t xml:space="preserve">	#4682B4</t>
  </si>
  <si>
    <t xml:space="preserve">	tan</t>
  </si>
  <si>
    <t xml:space="preserve">	#D2B48C</t>
  </si>
  <si>
    <t xml:space="preserve">	thistle</t>
  </si>
  <si>
    <t xml:space="preserve">	#D8BFD8</t>
  </si>
  <si>
    <t xml:space="preserve">	tomato</t>
  </si>
  <si>
    <t xml:space="preserve">	#FF6347</t>
  </si>
  <si>
    <t xml:space="preserve">	turquoise</t>
  </si>
  <si>
    <t xml:space="preserve">	#40E0D0</t>
  </si>
  <si>
    <t xml:space="preserve">	violet</t>
  </si>
  <si>
    <t xml:space="preserve">	#EE82EE</t>
  </si>
  <si>
    <t xml:space="preserve">	wheat</t>
  </si>
  <si>
    <t xml:space="preserve">	#F5DEB3</t>
  </si>
  <si>
    <t xml:space="preserve">	whitesmoke</t>
  </si>
  <si>
    <t xml:space="preserve">	#F5F5F5</t>
  </si>
  <si>
    <t xml:space="preserve">	yellowgreen</t>
  </si>
  <si>
    <t xml:space="preserve">	#9ACD32</t>
  </si>
  <si>
    <t xml:space="preserve">	0</t>
  </si>
  <si>
    <t xml:space="preserve">	25</t>
  </si>
  <si>
    <t xml:space="preserve">	30</t>
  </si>
  <si>
    <t xml:space="preserve">	32</t>
  </si>
  <si>
    <t xml:space="preserve">	34</t>
  </si>
  <si>
    <t xml:space="preserve">	46</t>
  </si>
  <si>
    <t xml:space="preserve">	47</t>
  </si>
  <si>
    <t xml:space="preserve">	50</t>
  </si>
  <si>
    <t xml:space="preserve">	60</t>
  </si>
  <si>
    <t xml:space="preserve">	64</t>
  </si>
  <si>
    <t xml:space="preserve">	65</t>
  </si>
  <si>
    <t xml:space="preserve">	70</t>
  </si>
  <si>
    <t xml:space="preserve">	72</t>
  </si>
  <si>
    <t xml:space="preserve">	75</t>
  </si>
  <si>
    <t xml:space="preserve">	85</t>
  </si>
  <si>
    <t xml:space="preserve">	95</t>
  </si>
  <si>
    <t xml:space="preserve">	100</t>
  </si>
  <si>
    <t xml:space="preserve">	102</t>
  </si>
  <si>
    <t xml:space="preserve">	106</t>
  </si>
  <si>
    <t xml:space="preserve">	107</t>
  </si>
  <si>
    <t xml:space="preserve">	112</t>
  </si>
  <si>
    <t xml:space="preserve">	119</t>
  </si>
  <si>
    <t xml:space="preserve">	123</t>
  </si>
  <si>
    <t xml:space="preserve">	124</t>
  </si>
  <si>
    <t xml:space="preserve">	127</t>
  </si>
  <si>
    <t xml:space="preserve">	128</t>
  </si>
  <si>
    <t xml:space="preserve">	135</t>
  </si>
  <si>
    <t xml:space="preserve">	138</t>
  </si>
  <si>
    <t xml:space="preserve">	139</t>
  </si>
  <si>
    <t xml:space="preserve">	143</t>
  </si>
  <si>
    <t xml:space="preserve">	144</t>
  </si>
  <si>
    <t xml:space="preserve">	147</t>
  </si>
  <si>
    <t xml:space="preserve">	148</t>
  </si>
  <si>
    <t xml:space="preserve">	152</t>
  </si>
  <si>
    <t xml:space="preserve">	153</t>
  </si>
  <si>
    <t xml:space="preserve">	159</t>
  </si>
  <si>
    <t xml:space="preserve">	160</t>
  </si>
  <si>
    <t xml:space="preserve">	165</t>
  </si>
  <si>
    <t xml:space="preserve">	169</t>
  </si>
  <si>
    <t xml:space="preserve">	173</t>
  </si>
  <si>
    <t xml:space="preserve">	175</t>
  </si>
  <si>
    <t xml:space="preserve">	176</t>
  </si>
  <si>
    <t xml:space="preserve">	178</t>
  </si>
  <si>
    <t xml:space="preserve">	184</t>
  </si>
  <si>
    <t xml:space="preserve">	186</t>
  </si>
  <si>
    <t xml:space="preserve">	188</t>
  </si>
  <si>
    <t xml:space="preserve">	189</t>
  </si>
  <si>
    <t xml:space="preserve">	192</t>
  </si>
  <si>
    <t xml:space="preserve">	199</t>
  </si>
  <si>
    <t xml:space="preserve">	205</t>
  </si>
  <si>
    <t xml:space="preserve">	210</t>
  </si>
  <si>
    <t xml:space="preserve">	211</t>
  </si>
  <si>
    <t xml:space="preserve">	216</t>
  </si>
  <si>
    <t xml:space="preserve">	218</t>
  </si>
  <si>
    <t xml:space="preserve">	219</t>
  </si>
  <si>
    <t xml:space="preserve">	220</t>
  </si>
  <si>
    <t xml:space="preserve">	221</t>
  </si>
  <si>
    <t xml:space="preserve">	222</t>
  </si>
  <si>
    <t xml:space="preserve">	224</t>
  </si>
  <si>
    <t xml:space="preserve">	230</t>
  </si>
  <si>
    <t xml:space="preserve">	233</t>
  </si>
  <si>
    <t xml:space="preserve">	238</t>
  </si>
  <si>
    <t xml:space="preserve">	240</t>
  </si>
  <si>
    <t xml:space="preserve">	1240</t>
  </si>
  <si>
    <t xml:space="preserve">	244</t>
  </si>
  <si>
    <t xml:space="preserve">	245</t>
  </si>
  <si>
    <t xml:space="preserve">	248</t>
  </si>
  <si>
    <t xml:space="preserve">	250</t>
  </si>
  <si>
    <t xml:space="preserve">	253</t>
  </si>
  <si>
    <t xml:space="preserve">	255</t>
  </si>
  <si>
    <t>GLOBE_MAX</t>
  </si>
  <si>
    <t>GLOBE_MIN</t>
  </si>
  <si>
    <t>+2</t>
  </si>
  <si>
    <t>values</t>
  </si>
  <si>
    <t>+8</t>
  </si>
  <si>
    <t>*1</t>
  </si>
  <si>
    <t>*.5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</si>
</sst>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plot_graphs!$F$11:$F$38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plot_graphs!$G$11:$G$38</c:f>
              <c:numCache>
                <c:formatCode>General</c:formatCode>
                <c:ptCount val="28"/>
                <c:pt idx="0">
                  <c:v>0.6</c:v>
                </c:pt>
                <c:pt idx="1">
                  <c:v>1.2</c:v>
                </c:pt>
                <c:pt idx="2">
                  <c:v>1.7999999999999998</c:v>
                </c:pt>
                <c:pt idx="3">
                  <c:v>2.4</c:v>
                </c:pt>
                <c:pt idx="4">
                  <c:v>3</c:v>
                </c:pt>
                <c:pt idx="5">
                  <c:v>3.5999999999999996</c:v>
                </c:pt>
                <c:pt idx="6">
                  <c:v>4.2</c:v>
                </c:pt>
                <c:pt idx="7">
                  <c:v>4.8</c:v>
                </c:pt>
                <c:pt idx="8">
                  <c:v>5.3999999999999995</c:v>
                </c:pt>
                <c:pt idx="9">
                  <c:v>6</c:v>
                </c:pt>
                <c:pt idx="10">
                  <c:v>6.6</c:v>
                </c:pt>
                <c:pt idx="11">
                  <c:v>7.1999999999999993</c:v>
                </c:pt>
                <c:pt idx="12">
                  <c:v>7.8</c:v>
                </c:pt>
                <c:pt idx="13">
                  <c:v>8.4</c:v>
                </c:pt>
                <c:pt idx="14">
                  <c:v>9</c:v>
                </c:pt>
                <c:pt idx="15">
                  <c:v>9.6</c:v>
                </c:pt>
                <c:pt idx="16">
                  <c:v>10.199999999999999</c:v>
                </c:pt>
                <c:pt idx="17">
                  <c:v>10.799999999999999</c:v>
                </c:pt>
                <c:pt idx="18">
                  <c:v>11.4</c:v>
                </c:pt>
                <c:pt idx="19">
                  <c:v>12</c:v>
                </c:pt>
                <c:pt idx="20">
                  <c:v>12.6</c:v>
                </c:pt>
                <c:pt idx="21">
                  <c:v>13.2</c:v>
                </c:pt>
                <c:pt idx="22">
                  <c:v>13.799999999999999</c:v>
                </c:pt>
                <c:pt idx="23">
                  <c:v>14.399999999999999</c:v>
                </c:pt>
                <c:pt idx="24">
                  <c:v>15</c:v>
                </c:pt>
                <c:pt idx="25">
                  <c:v>15.6</c:v>
                </c:pt>
                <c:pt idx="26">
                  <c:v>16.2</c:v>
                </c:pt>
                <c:pt idx="27">
                  <c:v>16.8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F-4FCB-99E9-4257D940A02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plot_graphs!$F$11:$F$38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plot_graphs!$H$11:$H$38</c:f>
              <c:numCache>
                <c:formatCode>General</c:formatCode>
                <c:ptCount val="28"/>
                <c:pt idx="0">
                  <c:v>0.85555919037101846</c:v>
                </c:pt>
                <c:pt idx="1">
                  <c:v>0.73198152822831264</c:v>
                </c:pt>
                <c:pt idx="2">
                  <c:v>0.62625352365755593</c:v>
                </c:pt>
                <c:pt idx="3">
                  <c:v>0.53579695766745605</c:v>
                </c:pt>
                <c:pt idx="4">
                  <c:v>0.45840601130522352</c:v>
                </c:pt>
                <c:pt idx="5">
                  <c:v>0.39219347589350501</c:v>
                </c:pt>
                <c:pt idx="6">
                  <c:v>0.33554473270424268</c:v>
                </c:pt>
                <c:pt idx="7">
                  <c:v>0.28707837984570167</c:v>
                </c:pt>
                <c:pt idx="8">
                  <c:v>0.24561254623381226</c:v>
                </c:pt>
                <c:pt idx="9">
                  <c:v>0.21013607120076472</c:v>
                </c:pt>
                <c:pt idx="10">
                  <c:v>0.17978384694427296</c:v>
                </c:pt>
                <c:pt idx="11">
                  <c:v>0.15381572253342932</c:v>
                </c:pt>
                <c:pt idx="12">
                  <c:v>0.13159845503703399</c:v>
                </c:pt>
                <c:pt idx="13">
                  <c:v>0.11259026764556165</c:v>
                </c:pt>
                <c:pt idx="14">
                  <c:v>9.6327638230493035E-2</c:v>
                </c:pt>
                <c:pt idx="15">
                  <c:v>8.2413996174832971E-2</c:v>
                </c:pt>
                <c:pt idx="16">
                  <c:v>7.0510051842580329E-2</c:v>
                </c:pt>
                <c:pt idx="17">
                  <c:v>6.0325522867456564E-2</c:v>
                </c:pt>
                <c:pt idx="18">
                  <c:v>5.1612055503189466E-2</c:v>
                </c:pt>
                <c:pt idx="19">
                  <c:v>4.415716841969286E-2</c:v>
                </c:pt>
                <c:pt idx="20">
                  <c:v>3.7779071262229139E-2</c:v>
                </c:pt>
                <c:pt idx="21">
                  <c:v>3.2322231622081768E-2</c:v>
                </c:pt>
                <c:pt idx="22">
                  <c:v>2.7653582317572818E-2</c:v>
                </c:pt>
                <c:pt idx="23">
                  <c:v>2.3659276498480913E-2</c:v>
                </c:pt>
                <c:pt idx="24">
                  <c:v>2.0241911445804381E-2</c:v>
                </c:pt>
                <c:pt idx="25">
                  <c:v>1.7318153368134255E-2</c:v>
                </c:pt>
                <c:pt idx="26">
                  <c:v>1.4816705274362072E-2</c:v>
                </c:pt>
                <c:pt idx="27">
                  <c:v>1.2676568368499208E-2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AF-4FCB-99E9-4257D940A02B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plot_graphs!$F$11:$F$38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plot_graphs!$I$11:$I$38</c:f>
              <c:numCache>
                <c:formatCode>General</c:formatCode>
                <c:ptCount val="28"/>
                <c:pt idx="0">
                  <c:v>0.85555919037101846</c:v>
                </c:pt>
                <c:pt idx="1">
                  <c:v>0.73198152822831264</c:v>
                </c:pt>
                <c:pt idx="2">
                  <c:v>0.62625352365755593</c:v>
                </c:pt>
                <c:pt idx="3">
                  <c:v>0.53579695766745605</c:v>
                </c:pt>
                <c:pt idx="4">
                  <c:v>0.45840601130522352</c:v>
                </c:pt>
                <c:pt idx="5">
                  <c:v>0.39219347589350501</c:v>
                </c:pt>
                <c:pt idx="6">
                  <c:v>0.33554473270424268</c:v>
                </c:pt>
                <c:pt idx="7">
                  <c:v>0.28707837984570167</c:v>
                </c:pt>
                <c:pt idx="8">
                  <c:v>0.24561254623381226</c:v>
                </c:pt>
                <c:pt idx="9">
                  <c:v>0.21013607120076472</c:v>
                </c:pt>
                <c:pt idx="10">
                  <c:v>0.17978384694427296</c:v>
                </c:pt>
                <c:pt idx="11">
                  <c:v>0.15381572253342932</c:v>
                </c:pt>
                <c:pt idx="12">
                  <c:v>0.13159845503703399</c:v>
                </c:pt>
                <c:pt idx="13">
                  <c:v>0.11259026764556165</c:v>
                </c:pt>
                <c:pt idx="14">
                  <c:v>9.6327638230493035E-2</c:v>
                </c:pt>
                <c:pt idx="15">
                  <c:v>8.2413996174832971E-2</c:v>
                </c:pt>
                <c:pt idx="16">
                  <c:v>7.0510051842580329E-2</c:v>
                </c:pt>
                <c:pt idx="17">
                  <c:v>6.0325522867456564E-2</c:v>
                </c:pt>
                <c:pt idx="18">
                  <c:v>5.1612055503189466E-2</c:v>
                </c:pt>
                <c:pt idx="19">
                  <c:v>4.415716841969286E-2</c:v>
                </c:pt>
                <c:pt idx="20">
                  <c:v>3.7779071262229139E-2</c:v>
                </c:pt>
                <c:pt idx="21">
                  <c:v>3.2322231622081768E-2</c:v>
                </c:pt>
                <c:pt idx="22">
                  <c:v>2.7653582317572818E-2</c:v>
                </c:pt>
                <c:pt idx="23">
                  <c:v>2.3659276498480913E-2</c:v>
                </c:pt>
                <c:pt idx="24">
                  <c:v>2.0241911445804381E-2</c:v>
                </c:pt>
                <c:pt idx="25">
                  <c:v>1.7318153368134255E-2</c:v>
                </c:pt>
                <c:pt idx="26">
                  <c:v>1.4816705274362072E-2</c:v>
                </c:pt>
                <c:pt idx="27">
                  <c:v>1.2676568368499208E-2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AF-4FCB-99E9-4257D940A02B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plot_graphs!$F$11:$F$38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plot_graphs!$J$11:$J$38</c:f>
              <c:numCache>
                <c:formatCode>General</c:formatCode>
                <c:ptCount val="28"/>
                <c:pt idx="0">
                  <c:v>17.111183807420367</c:v>
                </c:pt>
                <c:pt idx="1">
                  <c:v>14.639630564566254</c:v>
                </c:pt>
                <c:pt idx="2">
                  <c:v>12.525070473151118</c:v>
                </c:pt>
                <c:pt idx="3">
                  <c:v>10.715939153349121</c:v>
                </c:pt>
                <c:pt idx="4">
                  <c:v>9.1681202261044703</c:v>
                </c:pt>
                <c:pt idx="5">
                  <c:v>7.8438695178701003</c:v>
                </c:pt>
                <c:pt idx="6">
                  <c:v>6.7108946540848535</c:v>
                </c:pt>
                <c:pt idx="7">
                  <c:v>5.7415675969140336</c:v>
                </c:pt>
                <c:pt idx="8">
                  <c:v>4.9122509246762451</c:v>
                </c:pt>
                <c:pt idx="9">
                  <c:v>4.2027214240152944</c:v>
                </c:pt>
                <c:pt idx="10">
                  <c:v>3.5956769388854593</c:v>
                </c:pt>
                <c:pt idx="11">
                  <c:v>3.0763144506685864</c:v>
                </c:pt>
                <c:pt idx="12">
                  <c:v>2.6319691007406796</c:v>
                </c:pt>
                <c:pt idx="13">
                  <c:v>2.2518053529112332</c:v>
                </c:pt>
                <c:pt idx="14">
                  <c:v>1.9265527646098608</c:v>
                </c:pt>
                <c:pt idx="15">
                  <c:v>1.6482799234966594</c:v>
                </c:pt>
                <c:pt idx="16">
                  <c:v>1.4102010368516065</c:v>
                </c:pt>
                <c:pt idx="17">
                  <c:v>1.2065104573491312</c:v>
                </c:pt>
                <c:pt idx="18">
                  <c:v>1.0322411100637894</c:v>
                </c:pt>
                <c:pt idx="19">
                  <c:v>0.88314336839385721</c:v>
                </c:pt>
                <c:pt idx="20">
                  <c:v>0.75558142524458272</c:v>
                </c:pt>
                <c:pt idx="21">
                  <c:v>0.6464446324416353</c:v>
                </c:pt>
                <c:pt idx="22">
                  <c:v>0.55307164635145634</c:v>
                </c:pt>
                <c:pt idx="23">
                  <c:v>0.47318552996961827</c:v>
                </c:pt>
                <c:pt idx="24">
                  <c:v>0.40483822891608762</c:v>
                </c:pt>
                <c:pt idx="25">
                  <c:v>0.34636306736268507</c:v>
                </c:pt>
                <c:pt idx="26">
                  <c:v>0.29633410548724143</c:v>
                </c:pt>
                <c:pt idx="27">
                  <c:v>0.25353136736998416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AF-4FCB-99E9-4257D940A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343344"/>
        <c:axId val="293343704"/>
      </c:scatterChart>
      <c:valAx>
        <c:axId val="29334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343704"/>
        <c:crosses val="autoZero"/>
        <c:crossBetween val="midCat"/>
      </c:valAx>
      <c:valAx>
        <c:axId val="29334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343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220980</xdr:colOff>
      <xdr:row>6</xdr:row>
      <xdr:rowOff>41910</xdr:rowOff>
    </xdr:from>
    <xdr:to>
      <xdr:col>18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56062-6B99-8D70-1430-867AF082F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1086-81D8-4A8A-82B2-28E9492B3C2E}">
  <dimension ref="A1:V695"/>
  <sheetViews>
    <sheetView topLeftCell="A616" workbookViewId="0">
      <selection activeCell="O658" sqref="O658:O685"/>
    </sheetView>
  </sheetViews>
  <sheetFormatPr defaultRowHeight="14.4" x14ac:dyDescent="0.3"/>
  <cols>
    <col min="1" max="8" width="8.88671875" style="1"/>
    <col min="12" max="12" width="2" bestFit="1" customWidth="1"/>
    <col min="13" max="13" width="3" bestFit="1" customWidth="1"/>
    <col min="14" max="14" width="8" bestFit="1" customWidth="1"/>
    <col min="15" max="15" width="8" customWidth="1"/>
    <col min="16" max="16" width="11.6640625" style="1" bestFit="1" customWidth="1"/>
  </cols>
  <sheetData>
    <row r="1" spans="1:8" x14ac:dyDescent="0.3">
      <c r="A1" s="1" t="s">
        <v>288</v>
      </c>
      <c r="B1" s="1" t="s">
        <v>289</v>
      </c>
      <c r="D1" s="1" t="s">
        <v>290</v>
      </c>
      <c r="F1" s="1" t="s">
        <v>291</v>
      </c>
      <c r="G1" s="1" t="s">
        <v>292</v>
      </c>
      <c r="H1" s="1" t="s">
        <v>293</v>
      </c>
    </row>
    <row r="2" spans="1:8" x14ac:dyDescent="0.3">
      <c r="A2" s="1">
        <v>1</v>
      </c>
      <c r="B2" s="2">
        <v>0.95277777777777772</v>
      </c>
      <c r="C2" s="2"/>
      <c r="D2" s="1" t="s">
        <v>0</v>
      </c>
      <c r="F2" s="1" t="s">
        <v>1</v>
      </c>
      <c r="G2" s="1" t="s">
        <v>2</v>
      </c>
      <c r="H2" s="1" t="s">
        <v>3</v>
      </c>
    </row>
    <row r="3" spans="1:8" x14ac:dyDescent="0.3">
      <c r="A3" s="1">
        <v>2</v>
      </c>
      <c r="B3" s="2">
        <v>0.95277777777777772</v>
      </c>
      <c r="C3" s="2"/>
      <c r="D3" s="1" t="s">
        <v>4</v>
      </c>
      <c r="F3" s="1" t="s">
        <v>1</v>
      </c>
      <c r="G3" s="1" t="s">
        <v>5</v>
      </c>
      <c r="H3" s="1" t="s">
        <v>2</v>
      </c>
    </row>
    <row r="4" spans="1:8" x14ac:dyDescent="0.3">
      <c r="A4" s="1">
        <v>3</v>
      </c>
      <c r="B4" s="2">
        <v>0.97222222222222221</v>
      </c>
      <c r="C4" s="2"/>
      <c r="D4" s="1" t="s">
        <v>4</v>
      </c>
      <c r="F4" s="1" t="s">
        <v>1</v>
      </c>
      <c r="G4" s="1" t="s">
        <v>5</v>
      </c>
    </row>
    <row r="5" spans="1:8" x14ac:dyDescent="0.3">
      <c r="A5" s="1">
        <v>4</v>
      </c>
      <c r="B5" s="2">
        <v>0.97222222222222221</v>
      </c>
      <c r="C5" s="2"/>
      <c r="D5" s="1" t="s">
        <v>6</v>
      </c>
      <c r="F5" s="1" t="s">
        <v>1</v>
      </c>
      <c r="G5" s="1" t="s">
        <v>5</v>
      </c>
    </row>
    <row r="6" spans="1:8" x14ac:dyDescent="0.3">
      <c r="A6" s="1">
        <v>5</v>
      </c>
      <c r="B6" s="2">
        <v>0.98263888888888884</v>
      </c>
      <c r="C6" s="2"/>
      <c r="D6" s="1" t="s">
        <v>6</v>
      </c>
      <c r="F6" s="1" t="s">
        <v>1</v>
      </c>
      <c r="G6" s="1" t="s">
        <v>5</v>
      </c>
    </row>
    <row r="7" spans="1:8" x14ac:dyDescent="0.3">
      <c r="A7" s="1">
        <v>6</v>
      </c>
      <c r="B7" s="2">
        <v>0.98263888888888884</v>
      </c>
      <c r="C7" s="2"/>
      <c r="D7" s="1" t="s">
        <v>7</v>
      </c>
      <c r="F7" s="1" t="s">
        <v>1</v>
      </c>
      <c r="G7" s="1" t="s">
        <v>5</v>
      </c>
    </row>
    <row r="8" spans="1:8" x14ac:dyDescent="0.3">
      <c r="A8" s="1">
        <v>7</v>
      </c>
      <c r="B8" s="2">
        <v>6.9444444444444441E-3</v>
      </c>
      <c r="C8" s="2"/>
      <c r="D8" s="1" t="s">
        <v>7</v>
      </c>
      <c r="F8" s="1" t="s">
        <v>1</v>
      </c>
      <c r="G8" s="1" t="s">
        <v>5</v>
      </c>
    </row>
    <row r="9" spans="1:8" x14ac:dyDescent="0.3">
      <c r="A9" s="1">
        <v>8</v>
      </c>
      <c r="B9" s="2">
        <v>6.9444444444444441E-3</v>
      </c>
      <c r="C9" s="2"/>
      <c r="D9" s="1" t="s">
        <v>8</v>
      </c>
      <c r="F9" s="1" t="s">
        <v>1</v>
      </c>
      <c r="G9" s="1" t="s">
        <v>5</v>
      </c>
    </row>
    <row r="10" spans="1:8" x14ac:dyDescent="0.3">
      <c r="A10" s="1">
        <v>9</v>
      </c>
      <c r="B10" s="2">
        <v>3.6111111111111108E-2</v>
      </c>
      <c r="C10" s="2"/>
      <c r="D10" s="1" t="s">
        <v>8</v>
      </c>
      <c r="F10" s="1" t="s">
        <v>1</v>
      </c>
      <c r="G10" s="1" t="s">
        <v>5</v>
      </c>
    </row>
    <row r="11" spans="1:8" x14ac:dyDescent="0.3">
      <c r="A11" s="1">
        <v>10</v>
      </c>
      <c r="B11" s="2">
        <v>3.6111111111111108E-2</v>
      </c>
      <c r="C11" s="2"/>
      <c r="D11" s="1" t="s">
        <v>7</v>
      </c>
      <c r="F11" s="1" t="s">
        <v>1</v>
      </c>
      <c r="G11" s="1" t="s">
        <v>5</v>
      </c>
    </row>
    <row r="12" spans="1:8" x14ac:dyDescent="0.3">
      <c r="A12" s="1">
        <v>11</v>
      </c>
      <c r="B12" s="2">
        <v>4.6527777777777779E-2</v>
      </c>
      <c r="C12" s="2"/>
      <c r="D12" s="1" t="s">
        <v>7</v>
      </c>
      <c r="F12" s="1" t="s">
        <v>1</v>
      </c>
      <c r="G12" s="1" t="s">
        <v>5</v>
      </c>
    </row>
    <row r="13" spans="1:8" x14ac:dyDescent="0.3">
      <c r="A13" s="1">
        <v>12</v>
      </c>
      <c r="B13" s="2">
        <v>4.6527777777777779E-2</v>
      </c>
      <c r="C13" s="2"/>
      <c r="D13" s="1" t="s">
        <v>6</v>
      </c>
      <c r="F13" s="1" t="s">
        <v>1</v>
      </c>
      <c r="G13" s="1" t="s">
        <v>5</v>
      </c>
    </row>
    <row r="14" spans="1:8" x14ac:dyDescent="0.3">
      <c r="A14" s="1">
        <v>13</v>
      </c>
      <c r="B14" s="2">
        <v>5.6944444444444443E-2</v>
      </c>
      <c r="C14" s="2"/>
      <c r="D14" s="1" t="s">
        <v>6</v>
      </c>
      <c r="F14" s="1" t="s">
        <v>1</v>
      </c>
      <c r="G14" s="1" t="s">
        <v>5</v>
      </c>
      <c r="H14" s="1" t="s">
        <v>9</v>
      </c>
    </row>
    <row r="15" spans="1:8" x14ac:dyDescent="0.3">
      <c r="A15" s="1">
        <v>14</v>
      </c>
      <c r="B15" s="2">
        <v>6.9444444444444448E-2</v>
      </c>
      <c r="C15" s="2"/>
      <c r="D15" s="1" t="s">
        <v>6</v>
      </c>
      <c r="F15" s="1" t="s">
        <v>1</v>
      </c>
      <c r="G15" s="1" t="s">
        <v>9</v>
      </c>
    </row>
    <row r="16" spans="1:8" x14ac:dyDescent="0.3">
      <c r="A16" s="1">
        <v>15</v>
      </c>
      <c r="B16" s="2">
        <v>6.9444444444444448E-2</v>
      </c>
      <c r="C16" s="2"/>
      <c r="D16" s="1" t="s">
        <v>10</v>
      </c>
      <c r="F16" s="1" t="s">
        <v>1</v>
      </c>
      <c r="G16" s="1" t="s">
        <v>9</v>
      </c>
    </row>
    <row r="17" spans="1:8" x14ac:dyDescent="0.3">
      <c r="A17" s="1">
        <v>16</v>
      </c>
      <c r="B17" s="2">
        <v>8.5069444444444448E-2</v>
      </c>
      <c r="C17" s="2"/>
      <c r="D17" s="1" t="s">
        <v>10</v>
      </c>
      <c r="F17" s="1" t="s">
        <v>1</v>
      </c>
      <c r="G17" s="1" t="s">
        <v>9</v>
      </c>
    </row>
    <row r="18" spans="1:8" x14ac:dyDescent="0.3">
      <c r="A18" s="1">
        <v>17</v>
      </c>
      <c r="B18" s="2">
        <v>8.5069444444444448E-2</v>
      </c>
      <c r="C18" s="2"/>
      <c r="D18" s="1" t="s">
        <v>11</v>
      </c>
      <c r="F18" s="1" t="s">
        <v>1</v>
      </c>
      <c r="G18" s="1" t="s">
        <v>9</v>
      </c>
    </row>
    <row r="19" spans="1:8" x14ac:dyDescent="0.3">
      <c r="A19" s="1">
        <v>18</v>
      </c>
      <c r="B19" s="2">
        <v>0.10486111111111111</v>
      </c>
      <c r="C19" s="2"/>
      <c r="D19" s="1" t="s">
        <v>11</v>
      </c>
      <c r="F19" s="1" t="s">
        <v>1</v>
      </c>
      <c r="G19" s="1" t="s">
        <v>9</v>
      </c>
    </row>
    <row r="20" spans="1:8" x14ac:dyDescent="0.3">
      <c r="A20" s="1">
        <v>19</v>
      </c>
      <c r="B20" s="2">
        <v>0.10486111111111111</v>
      </c>
      <c r="C20" s="2"/>
      <c r="D20" s="1" t="s">
        <v>12</v>
      </c>
      <c r="F20" s="1" t="s">
        <v>1</v>
      </c>
      <c r="G20" s="1" t="s">
        <v>9</v>
      </c>
      <c r="H20" s="1" t="s">
        <v>13</v>
      </c>
    </row>
    <row r="21" spans="1:8" x14ac:dyDescent="0.3">
      <c r="A21" s="1">
        <v>20</v>
      </c>
      <c r="B21" s="2">
        <v>8.3333333333333329E-2</v>
      </c>
      <c r="C21" s="2"/>
      <c r="D21" s="1" t="s">
        <v>12</v>
      </c>
      <c r="F21" s="1" t="s">
        <v>1</v>
      </c>
      <c r="G21" s="1" t="s">
        <v>13</v>
      </c>
    </row>
    <row r="22" spans="1:8" x14ac:dyDescent="0.3">
      <c r="A22" s="1">
        <v>21</v>
      </c>
      <c r="B22" s="2">
        <v>8.3333333333333329E-2</v>
      </c>
      <c r="C22" s="2"/>
      <c r="D22" s="1" t="s">
        <v>14</v>
      </c>
      <c r="F22" s="1" t="s">
        <v>1</v>
      </c>
      <c r="G22" s="1" t="s">
        <v>13</v>
      </c>
    </row>
    <row r="23" spans="1:8" x14ac:dyDescent="0.3">
      <c r="A23" s="1">
        <v>22</v>
      </c>
      <c r="B23" s="2">
        <v>5.8680555555555555E-2</v>
      </c>
      <c r="C23" s="2"/>
      <c r="D23" s="1" t="s">
        <v>14</v>
      </c>
      <c r="F23" s="1" t="s">
        <v>1</v>
      </c>
      <c r="G23" s="1" t="s">
        <v>13</v>
      </c>
    </row>
    <row r="24" spans="1:8" x14ac:dyDescent="0.3">
      <c r="A24" s="1">
        <v>23</v>
      </c>
      <c r="B24" s="2">
        <v>5.8680555555555555E-2</v>
      </c>
      <c r="C24" s="2"/>
      <c r="D24" s="1" t="s">
        <v>15</v>
      </c>
      <c r="F24" s="1" t="s">
        <v>1</v>
      </c>
      <c r="G24" s="1" t="s">
        <v>16</v>
      </c>
      <c r="H24" s="1" t="s">
        <v>13</v>
      </c>
    </row>
    <row r="25" spans="1:8" x14ac:dyDescent="0.3">
      <c r="A25" s="1">
        <v>24</v>
      </c>
      <c r="B25" s="2">
        <v>2.9861111111111113E-2</v>
      </c>
      <c r="C25" s="2"/>
      <c r="D25" s="1" t="s">
        <v>15</v>
      </c>
      <c r="F25" s="1" t="s">
        <v>1</v>
      </c>
      <c r="G25" s="1" t="s">
        <v>16</v>
      </c>
    </row>
    <row r="26" spans="1:8" x14ac:dyDescent="0.3">
      <c r="A26" s="1">
        <v>25</v>
      </c>
      <c r="B26" s="2">
        <v>2.9861111111111113E-2</v>
      </c>
      <c r="C26" s="2"/>
      <c r="D26" s="1" t="s">
        <v>17</v>
      </c>
      <c r="F26" s="1" t="s">
        <v>1</v>
      </c>
      <c r="G26" s="1" t="s">
        <v>16</v>
      </c>
    </row>
    <row r="27" spans="1:8" x14ac:dyDescent="0.3">
      <c r="A27" s="1">
        <v>26</v>
      </c>
      <c r="B27" s="2">
        <v>3.5416666666666666E-2</v>
      </c>
      <c r="C27" s="2"/>
      <c r="D27" s="1" t="s">
        <v>17</v>
      </c>
      <c r="F27" s="1" t="s">
        <v>1</v>
      </c>
      <c r="G27" s="1" t="s">
        <v>16</v>
      </c>
    </row>
    <row r="28" spans="1:8" x14ac:dyDescent="0.3">
      <c r="A28" s="1">
        <v>27</v>
      </c>
      <c r="B28" s="2">
        <v>3.5416666666666666E-2</v>
      </c>
      <c r="C28" s="2"/>
      <c r="D28" s="1" t="s">
        <v>18</v>
      </c>
      <c r="F28" s="1" t="s">
        <v>1</v>
      </c>
      <c r="G28" s="1" t="s">
        <v>16</v>
      </c>
    </row>
    <row r="29" spans="1:8" x14ac:dyDescent="0.3">
      <c r="A29" s="1">
        <v>28</v>
      </c>
      <c r="B29" s="2">
        <v>5.9027777777777776E-3</v>
      </c>
      <c r="C29" s="2"/>
      <c r="D29" s="1" t="s">
        <v>18</v>
      </c>
      <c r="F29" s="1" t="s">
        <v>1</v>
      </c>
      <c r="G29" s="1" t="s">
        <v>3</v>
      </c>
      <c r="H29" s="1" t="s">
        <v>16</v>
      </c>
    </row>
    <row r="30" spans="1:8" x14ac:dyDescent="0.3">
      <c r="A30" s="1">
        <v>29</v>
      </c>
      <c r="B30" s="2">
        <v>5.9027777777777776E-3</v>
      </c>
      <c r="C30" s="2"/>
      <c r="D30" s="1" t="s">
        <v>19</v>
      </c>
      <c r="F30" s="1" t="s">
        <v>1</v>
      </c>
      <c r="G30" s="1" t="s">
        <v>3</v>
      </c>
    </row>
    <row r="31" spans="1:8" x14ac:dyDescent="0.3">
      <c r="A31" s="1">
        <v>30</v>
      </c>
      <c r="B31" s="2">
        <v>2.7777777777777779E-3</v>
      </c>
      <c r="C31" s="2"/>
      <c r="D31" s="1" t="s">
        <v>19</v>
      </c>
      <c r="F31" s="1" t="s">
        <v>1</v>
      </c>
      <c r="G31" s="1" t="s">
        <v>3</v>
      </c>
    </row>
    <row r="32" spans="1:8" x14ac:dyDescent="0.3">
      <c r="A32" s="1">
        <v>31</v>
      </c>
      <c r="B32" s="2">
        <v>2.7777777777777779E-3</v>
      </c>
      <c r="C32" s="2"/>
      <c r="D32" s="1" t="s">
        <v>20</v>
      </c>
      <c r="F32" s="1" t="s">
        <v>1</v>
      </c>
      <c r="G32" s="1" t="s">
        <v>3</v>
      </c>
    </row>
    <row r="33" spans="1:8" x14ac:dyDescent="0.3">
      <c r="A33" s="1">
        <v>32</v>
      </c>
      <c r="B33" s="2">
        <v>0</v>
      </c>
      <c r="C33" s="2"/>
      <c r="D33" s="1" t="s">
        <v>20</v>
      </c>
      <c r="F33" s="1" t="s">
        <v>1</v>
      </c>
      <c r="G33" s="1" t="s">
        <v>3</v>
      </c>
    </row>
    <row r="34" spans="1:8" x14ac:dyDescent="0.3">
      <c r="A34" s="1">
        <v>33</v>
      </c>
      <c r="B34" s="2">
        <v>0</v>
      </c>
      <c r="C34" s="2"/>
      <c r="D34" s="1" t="s">
        <v>21</v>
      </c>
      <c r="F34" s="1" t="s">
        <v>1</v>
      </c>
      <c r="G34" s="1" t="s">
        <v>3</v>
      </c>
    </row>
    <row r="35" spans="1:8" x14ac:dyDescent="0.3">
      <c r="A35" s="1">
        <v>34</v>
      </c>
      <c r="B35" s="2">
        <v>0.98958333333333337</v>
      </c>
      <c r="C35" s="2"/>
      <c r="D35" s="1" t="s">
        <v>21</v>
      </c>
      <c r="F35" s="1" t="s">
        <v>1</v>
      </c>
      <c r="G35" s="1" t="s">
        <v>3</v>
      </c>
    </row>
    <row r="36" spans="1:8" x14ac:dyDescent="0.3">
      <c r="A36" s="1">
        <v>35</v>
      </c>
      <c r="B36" s="2">
        <v>0.98958333333333337</v>
      </c>
      <c r="C36" s="2"/>
      <c r="D36" s="1" t="s">
        <v>22</v>
      </c>
      <c r="F36" s="1" t="s">
        <v>1</v>
      </c>
      <c r="G36" s="1" t="s">
        <v>3</v>
      </c>
    </row>
    <row r="37" spans="1:8" x14ac:dyDescent="0.3">
      <c r="A37" s="1">
        <v>36</v>
      </c>
      <c r="B37" s="2">
        <v>0.97916666666666663</v>
      </c>
      <c r="C37" s="2"/>
      <c r="D37" s="1" t="s">
        <v>22</v>
      </c>
      <c r="F37" s="1" t="s">
        <v>1</v>
      </c>
      <c r="G37" s="1" t="s">
        <v>3</v>
      </c>
    </row>
    <row r="38" spans="1:8" x14ac:dyDescent="0.3">
      <c r="A38" s="1">
        <v>37</v>
      </c>
      <c r="B38" s="2">
        <v>0.97916666666666663</v>
      </c>
      <c r="C38" s="2"/>
      <c r="D38" s="1" t="s">
        <v>0</v>
      </c>
      <c r="F38" s="1" t="s">
        <v>1</v>
      </c>
      <c r="G38" s="1" t="s">
        <v>3</v>
      </c>
    </row>
    <row r="39" spans="1:8" x14ac:dyDescent="0.3">
      <c r="A39" s="1">
        <v>38</v>
      </c>
      <c r="B39" s="2">
        <v>0.39027777777777778</v>
      </c>
      <c r="C39" s="2"/>
      <c r="D39" s="1" t="s">
        <v>23</v>
      </c>
      <c r="F39" s="1" t="s">
        <v>24</v>
      </c>
      <c r="G39" s="1" t="s">
        <v>25</v>
      </c>
      <c r="H39" s="1" t="s">
        <v>26</v>
      </c>
    </row>
    <row r="40" spans="1:8" x14ac:dyDescent="0.3">
      <c r="A40" s="1">
        <v>39</v>
      </c>
      <c r="B40" s="2">
        <v>0.39027777777777778</v>
      </c>
      <c r="C40" s="2"/>
      <c r="D40" s="1" t="s">
        <v>27</v>
      </c>
      <c r="F40" s="1" t="s">
        <v>24</v>
      </c>
      <c r="G40" s="1" t="s">
        <v>26</v>
      </c>
      <c r="H40" s="1" t="s">
        <v>28</v>
      </c>
    </row>
    <row r="41" spans="1:8" x14ac:dyDescent="0.3">
      <c r="A41" s="1">
        <v>40</v>
      </c>
      <c r="B41" s="2">
        <v>0.39027777777777778</v>
      </c>
      <c r="C41" s="2"/>
      <c r="D41" s="1" t="s">
        <v>29</v>
      </c>
      <c r="F41" s="1" t="s">
        <v>24</v>
      </c>
      <c r="G41" s="1" t="s">
        <v>28</v>
      </c>
    </row>
    <row r="42" spans="1:8" x14ac:dyDescent="0.3">
      <c r="A42" s="1">
        <v>41</v>
      </c>
      <c r="B42" s="2">
        <v>0.45833333333333331</v>
      </c>
      <c r="C42" s="2"/>
      <c r="D42" s="1" t="s">
        <v>29</v>
      </c>
      <c r="F42" s="1" t="s">
        <v>24</v>
      </c>
      <c r="G42" s="1" t="s">
        <v>30</v>
      </c>
      <c r="H42" s="1" t="s">
        <v>28</v>
      </c>
    </row>
    <row r="43" spans="1:8" x14ac:dyDescent="0.3">
      <c r="A43" s="1">
        <v>42</v>
      </c>
      <c r="B43" s="2">
        <v>0.45833333333333331</v>
      </c>
      <c r="C43" s="2"/>
      <c r="D43" s="1" t="s">
        <v>31</v>
      </c>
      <c r="F43" s="1" t="s">
        <v>24</v>
      </c>
      <c r="G43" s="1" t="s">
        <v>30</v>
      </c>
      <c r="H43" s="1" t="s">
        <v>25</v>
      </c>
    </row>
    <row r="44" spans="1:8" x14ac:dyDescent="0.3">
      <c r="A44" s="1">
        <v>43</v>
      </c>
      <c r="B44" s="2">
        <v>0.4513888888888889</v>
      </c>
      <c r="C44" s="2"/>
      <c r="D44" s="1" t="s">
        <v>31</v>
      </c>
      <c r="F44" s="1" t="s">
        <v>24</v>
      </c>
      <c r="G44" s="1" t="s">
        <v>25</v>
      </c>
    </row>
    <row r="45" spans="1:8" x14ac:dyDescent="0.3">
      <c r="A45" s="1">
        <v>44</v>
      </c>
      <c r="B45" s="2">
        <v>0.4513888888888889</v>
      </c>
      <c r="C45" s="2"/>
      <c r="D45" s="1" t="s">
        <v>32</v>
      </c>
      <c r="F45" s="1" t="s">
        <v>24</v>
      </c>
      <c r="G45" s="1" t="s">
        <v>25</v>
      </c>
    </row>
    <row r="46" spans="1:8" x14ac:dyDescent="0.3">
      <c r="A46" s="1">
        <v>45</v>
      </c>
      <c r="B46" s="2">
        <v>0.44097222222222221</v>
      </c>
      <c r="C46" s="2"/>
      <c r="D46" s="1" t="s">
        <v>32</v>
      </c>
      <c r="F46" s="1" t="s">
        <v>24</v>
      </c>
      <c r="G46" s="1" t="s">
        <v>25</v>
      </c>
    </row>
    <row r="47" spans="1:8" x14ac:dyDescent="0.3">
      <c r="A47" s="1">
        <v>46</v>
      </c>
      <c r="B47" s="2">
        <v>0.44097222222222221</v>
      </c>
      <c r="C47" s="2"/>
      <c r="D47" s="1" t="s">
        <v>33</v>
      </c>
      <c r="F47" s="1" t="s">
        <v>24</v>
      </c>
      <c r="G47" s="1" t="s">
        <v>25</v>
      </c>
    </row>
    <row r="48" spans="1:8" x14ac:dyDescent="0.3">
      <c r="A48" s="1">
        <v>47</v>
      </c>
      <c r="B48" s="2">
        <v>0.42708333333333331</v>
      </c>
      <c r="C48" s="2"/>
      <c r="D48" s="1" t="s">
        <v>33</v>
      </c>
      <c r="F48" s="1" t="s">
        <v>24</v>
      </c>
      <c r="G48" s="1" t="s">
        <v>25</v>
      </c>
    </row>
    <row r="49" spans="1:8" x14ac:dyDescent="0.3">
      <c r="A49" s="1">
        <v>48</v>
      </c>
      <c r="B49" s="2">
        <v>0.42708333333333331</v>
      </c>
      <c r="C49" s="2"/>
      <c r="D49" s="1" t="s">
        <v>34</v>
      </c>
      <c r="F49" s="1" t="s">
        <v>24</v>
      </c>
      <c r="G49" s="1" t="s">
        <v>25</v>
      </c>
    </row>
    <row r="50" spans="1:8" x14ac:dyDescent="0.3">
      <c r="A50" s="1">
        <v>49</v>
      </c>
      <c r="B50" s="2">
        <v>0.40625</v>
      </c>
      <c r="C50" s="2"/>
      <c r="D50" s="1" t="s">
        <v>34</v>
      </c>
      <c r="F50" s="1" t="s">
        <v>24</v>
      </c>
      <c r="G50" s="1" t="s">
        <v>25</v>
      </c>
    </row>
    <row r="51" spans="1:8" x14ac:dyDescent="0.3">
      <c r="A51" s="1">
        <v>50</v>
      </c>
      <c r="B51" s="2">
        <v>0.40625</v>
      </c>
      <c r="C51" s="2"/>
      <c r="D51" s="1" t="s">
        <v>23</v>
      </c>
      <c r="F51" s="1" t="s">
        <v>24</v>
      </c>
      <c r="G51" s="1" t="s">
        <v>25</v>
      </c>
    </row>
    <row r="52" spans="1:8" x14ac:dyDescent="0.3">
      <c r="A52" s="1">
        <v>51</v>
      </c>
      <c r="B52" s="2">
        <v>0.56944444444444442</v>
      </c>
      <c r="C52" s="2"/>
      <c r="D52" s="1" t="s">
        <v>35</v>
      </c>
      <c r="F52" s="1" t="s">
        <v>36</v>
      </c>
      <c r="G52" s="1" t="s">
        <v>37</v>
      </c>
      <c r="H52" s="1" t="s">
        <v>38</v>
      </c>
    </row>
    <row r="53" spans="1:8" x14ac:dyDescent="0.3">
      <c r="A53" s="1">
        <v>52</v>
      </c>
      <c r="B53" s="2">
        <v>0.75</v>
      </c>
      <c r="C53" s="2"/>
      <c r="D53" s="1" t="s">
        <v>35</v>
      </c>
      <c r="F53" s="1" t="s">
        <v>36</v>
      </c>
      <c r="G53" s="1" t="s">
        <v>38</v>
      </c>
    </row>
    <row r="54" spans="1:8" x14ac:dyDescent="0.3">
      <c r="A54" s="1">
        <v>53</v>
      </c>
      <c r="B54" s="2">
        <v>0.75</v>
      </c>
      <c r="C54" s="2"/>
      <c r="D54" s="1" t="s">
        <v>39</v>
      </c>
      <c r="F54" s="1" t="s">
        <v>36</v>
      </c>
      <c r="G54" s="1" t="s">
        <v>38</v>
      </c>
      <c r="H54" s="1" t="s">
        <v>40</v>
      </c>
    </row>
    <row r="55" spans="1:8" x14ac:dyDescent="0.3">
      <c r="A55" s="1">
        <v>54</v>
      </c>
      <c r="B55" s="2">
        <v>0.75</v>
      </c>
      <c r="C55" s="2"/>
      <c r="D55" s="1" t="s">
        <v>41</v>
      </c>
      <c r="F55" s="1" t="s">
        <v>36</v>
      </c>
      <c r="G55" s="1" t="s">
        <v>40</v>
      </c>
    </row>
    <row r="56" spans="1:8" x14ac:dyDescent="0.3">
      <c r="A56" s="1">
        <v>55</v>
      </c>
      <c r="B56" s="2">
        <v>0.72916666666666663</v>
      </c>
      <c r="C56" s="2"/>
      <c r="D56" s="1" t="s">
        <v>41</v>
      </c>
      <c r="F56" s="1" t="s">
        <v>36</v>
      </c>
      <c r="G56" s="1" t="s">
        <v>42</v>
      </c>
      <c r="H56" s="1" t="s">
        <v>40</v>
      </c>
    </row>
    <row r="57" spans="1:8" x14ac:dyDescent="0.3">
      <c r="A57" s="1">
        <v>56</v>
      </c>
      <c r="B57" s="2">
        <v>0.70833333333333337</v>
      </c>
      <c r="C57" s="2"/>
      <c r="D57" s="1" t="s">
        <v>41</v>
      </c>
      <c r="F57" s="1" t="s">
        <v>36</v>
      </c>
      <c r="G57" s="1" t="s">
        <v>42</v>
      </c>
      <c r="H57" s="1" t="s">
        <v>43</v>
      </c>
    </row>
    <row r="58" spans="1:8" x14ac:dyDescent="0.3">
      <c r="A58" s="1">
        <v>57</v>
      </c>
      <c r="B58" s="2">
        <v>0.70833333333333337</v>
      </c>
      <c r="C58" s="2"/>
      <c r="D58" s="1" t="s">
        <v>44</v>
      </c>
      <c r="F58" s="1" t="s">
        <v>36</v>
      </c>
      <c r="G58" s="1" t="s">
        <v>43</v>
      </c>
    </row>
    <row r="59" spans="1:8" x14ac:dyDescent="0.3">
      <c r="A59" s="1">
        <v>58</v>
      </c>
      <c r="B59" s="2">
        <v>0.61458333333333337</v>
      </c>
      <c r="C59" s="2"/>
      <c r="D59" s="1" t="s">
        <v>44</v>
      </c>
      <c r="F59" s="1" t="s">
        <v>36</v>
      </c>
      <c r="G59" s="1" t="s">
        <v>45</v>
      </c>
      <c r="H59" s="1" t="s">
        <v>43</v>
      </c>
    </row>
    <row r="60" spans="1:8" x14ac:dyDescent="0.3">
      <c r="A60" s="1">
        <v>59</v>
      </c>
      <c r="B60" s="2">
        <v>0.56944444444444442</v>
      </c>
      <c r="C60" s="2"/>
      <c r="D60" s="1" t="s">
        <v>44</v>
      </c>
      <c r="F60" s="1" t="s">
        <v>36</v>
      </c>
      <c r="G60" s="1" t="s">
        <v>45</v>
      </c>
      <c r="H60" s="1" t="s">
        <v>46</v>
      </c>
    </row>
    <row r="61" spans="1:8" x14ac:dyDescent="0.3">
      <c r="A61" s="1">
        <v>60</v>
      </c>
      <c r="B61" s="2">
        <v>0.56944444444444442</v>
      </c>
      <c r="C61" s="2"/>
      <c r="D61" s="1" t="s">
        <v>39</v>
      </c>
      <c r="F61" s="1" t="s">
        <v>36</v>
      </c>
      <c r="G61" s="1" t="s">
        <v>37</v>
      </c>
      <c r="H61" s="1" t="s">
        <v>46</v>
      </c>
    </row>
    <row r="62" spans="1:8" x14ac:dyDescent="0.3">
      <c r="A62" s="1">
        <v>84</v>
      </c>
      <c r="B62" s="2">
        <v>0.77430555555555558</v>
      </c>
      <c r="C62" s="2"/>
      <c r="D62" s="1" t="s">
        <v>47</v>
      </c>
      <c r="F62" s="1" t="s">
        <v>49</v>
      </c>
      <c r="G62" s="1" t="s">
        <v>64</v>
      </c>
    </row>
    <row r="63" spans="1:8" x14ac:dyDescent="0.3">
      <c r="A63" s="1">
        <v>85</v>
      </c>
      <c r="B63" s="2">
        <v>0.77430555555555558</v>
      </c>
      <c r="C63" s="2"/>
      <c r="D63" s="1" t="s">
        <v>50</v>
      </c>
      <c r="F63" s="1" t="s">
        <v>49</v>
      </c>
      <c r="G63" s="1" t="s">
        <v>64</v>
      </c>
    </row>
    <row r="64" spans="1:8" x14ac:dyDescent="0.3">
      <c r="A64" s="1">
        <v>86</v>
      </c>
      <c r="B64" s="2">
        <v>0.78611111111111109</v>
      </c>
      <c r="C64" s="2"/>
      <c r="D64" s="1" t="s">
        <v>50</v>
      </c>
      <c r="F64" s="1" t="s">
        <v>49</v>
      </c>
      <c r="G64" s="1" t="s">
        <v>64</v>
      </c>
    </row>
    <row r="65" spans="1:8" x14ac:dyDescent="0.3">
      <c r="A65" s="1">
        <v>87</v>
      </c>
      <c r="B65" s="2">
        <v>0.78611111111111109</v>
      </c>
      <c r="C65" s="2"/>
      <c r="D65" s="1" t="s">
        <v>65</v>
      </c>
      <c r="F65" s="1" t="s">
        <v>49</v>
      </c>
      <c r="G65" s="1" t="s">
        <v>64</v>
      </c>
    </row>
    <row r="66" spans="1:8" x14ac:dyDescent="0.3">
      <c r="A66" s="1">
        <v>88</v>
      </c>
      <c r="B66" s="2">
        <v>0.77759259259259261</v>
      </c>
      <c r="C66" s="2"/>
      <c r="D66" s="1" t="s">
        <v>65</v>
      </c>
      <c r="F66" s="1" t="s">
        <v>49</v>
      </c>
      <c r="G66" s="1" t="s">
        <v>66</v>
      </c>
      <c r="H66" s="1" t="s">
        <v>64</v>
      </c>
    </row>
    <row r="67" spans="1:8" x14ac:dyDescent="0.3">
      <c r="A67" s="1">
        <v>89</v>
      </c>
      <c r="B67" s="2">
        <v>0.77759259259259261</v>
      </c>
      <c r="C67" s="2"/>
      <c r="D67" s="1" t="s">
        <v>67</v>
      </c>
      <c r="F67" s="1" t="s">
        <v>49</v>
      </c>
      <c r="G67" s="1" t="s">
        <v>68</v>
      </c>
      <c r="H67" s="1" t="s">
        <v>66</v>
      </c>
    </row>
    <row r="68" spans="1:8" x14ac:dyDescent="0.3">
      <c r="A68" s="1">
        <v>90</v>
      </c>
      <c r="B68" s="2">
        <v>0.78611111111111109</v>
      </c>
      <c r="C68" s="2"/>
      <c r="D68" s="1" t="s">
        <v>67</v>
      </c>
      <c r="F68" s="1" t="s">
        <v>49</v>
      </c>
      <c r="G68" s="1" t="s">
        <v>68</v>
      </c>
    </row>
    <row r="69" spans="1:8" x14ac:dyDescent="0.3">
      <c r="A69" s="1">
        <v>91</v>
      </c>
      <c r="B69" s="2">
        <v>0.78611111111111109</v>
      </c>
      <c r="C69" s="2"/>
      <c r="D69" s="1" t="s">
        <v>69</v>
      </c>
      <c r="F69" s="1" t="s">
        <v>49</v>
      </c>
      <c r="G69" s="1" t="s">
        <v>68</v>
      </c>
      <c r="H69" s="1" t="s">
        <v>70</v>
      </c>
    </row>
    <row r="70" spans="1:8" x14ac:dyDescent="0.3">
      <c r="A70" s="1">
        <v>92</v>
      </c>
      <c r="B70" s="2">
        <v>0.79166666666666663</v>
      </c>
      <c r="C70" s="2"/>
      <c r="D70" s="1" t="s">
        <v>69</v>
      </c>
      <c r="F70" s="1" t="s">
        <v>49</v>
      </c>
      <c r="G70" s="1" t="s">
        <v>70</v>
      </c>
    </row>
    <row r="71" spans="1:8" x14ac:dyDescent="0.3">
      <c r="A71" s="1">
        <v>93</v>
      </c>
      <c r="B71" s="2">
        <v>0.79166666666666663</v>
      </c>
      <c r="C71" s="2"/>
      <c r="D71" s="1" t="s">
        <v>71</v>
      </c>
      <c r="F71" s="1" t="s">
        <v>49</v>
      </c>
      <c r="G71" s="1" t="s">
        <v>70</v>
      </c>
    </row>
    <row r="72" spans="1:8" x14ac:dyDescent="0.3">
      <c r="A72" s="1">
        <v>94</v>
      </c>
      <c r="B72" s="2">
        <v>0.82638888888888884</v>
      </c>
      <c r="C72" s="2"/>
      <c r="D72" s="1" t="s">
        <v>71</v>
      </c>
      <c r="F72" s="1" t="s">
        <v>49</v>
      </c>
      <c r="G72" s="1" t="s">
        <v>70</v>
      </c>
    </row>
    <row r="73" spans="1:8" x14ac:dyDescent="0.3">
      <c r="A73" s="1">
        <v>95</v>
      </c>
      <c r="B73" s="2">
        <v>0.82638888888888884</v>
      </c>
      <c r="C73" s="2"/>
      <c r="D73" s="1" t="s">
        <v>72</v>
      </c>
      <c r="F73" s="1" t="s">
        <v>49</v>
      </c>
      <c r="G73" s="1" t="s">
        <v>70</v>
      </c>
    </row>
    <row r="74" spans="1:8" x14ac:dyDescent="0.3">
      <c r="A74" s="1">
        <v>96</v>
      </c>
      <c r="B74" s="2">
        <v>0.83923611111111107</v>
      </c>
      <c r="C74" s="2"/>
      <c r="D74" s="1" t="s">
        <v>72</v>
      </c>
      <c r="F74" s="1" t="s">
        <v>49</v>
      </c>
      <c r="G74" s="1" t="s">
        <v>51</v>
      </c>
      <c r="H74" s="1" t="s">
        <v>70</v>
      </c>
    </row>
    <row r="75" spans="1:8" x14ac:dyDescent="0.3">
      <c r="A75" s="1">
        <v>97</v>
      </c>
      <c r="B75" s="2">
        <v>0.83923611111111107</v>
      </c>
      <c r="C75" s="2"/>
      <c r="D75" s="1" t="s">
        <v>73</v>
      </c>
      <c r="F75" s="1" t="s">
        <v>49</v>
      </c>
      <c r="G75" s="1" t="s">
        <v>51</v>
      </c>
    </row>
    <row r="76" spans="1:8" x14ac:dyDescent="0.3">
      <c r="A76" s="1">
        <v>98</v>
      </c>
      <c r="B76" s="2">
        <v>0.84583333333333333</v>
      </c>
      <c r="C76" s="2"/>
      <c r="D76" s="1" t="s">
        <v>73</v>
      </c>
      <c r="F76" s="1" t="s">
        <v>49</v>
      </c>
      <c r="G76" s="1" t="s">
        <v>51</v>
      </c>
    </row>
    <row r="77" spans="1:8" x14ac:dyDescent="0.3">
      <c r="A77" s="1">
        <v>99</v>
      </c>
      <c r="B77" s="2">
        <v>0.84583333333333333</v>
      </c>
      <c r="C77" s="2"/>
      <c r="D77" s="1" t="s">
        <v>50</v>
      </c>
      <c r="F77" s="1" t="s">
        <v>49</v>
      </c>
      <c r="G77" s="1" t="s">
        <v>51</v>
      </c>
    </row>
    <row r="78" spans="1:8" x14ac:dyDescent="0.3">
      <c r="A78" s="1">
        <v>100</v>
      </c>
      <c r="B78" s="2">
        <v>0.83333333333333337</v>
      </c>
      <c r="C78" s="2"/>
      <c r="D78" s="1" t="s">
        <v>62</v>
      </c>
      <c r="F78" s="1" t="s">
        <v>49</v>
      </c>
      <c r="G78" s="1" t="s">
        <v>61</v>
      </c>
    </row>
    <row r="79" spans="1:8" x14ac:dyDescent="0.3">
      <c r="A79" s="1">
        <v>101</v>
      </c>
      <c r="B79" s="2">
        <v>0.83333333333333337</v>
      </c>
      <c r="C79" s="2"/>
      <c r="D79" s="1" t="s">
        <v>74</v>
      </c>
      <c r="F79" s="1" t="s">
        <v>49</v>
      </c>
      <c r="G79" s="1" t="s">
        <v>61</v>
      </c>
      <c r="H79" s="1" t="s">
        <v>75</v>
      </c>
    </row>
    <row r="80" spans="1:8" x14ac:dyDescent="0.3">
      <c r="A80" s="1">
        <v>102</v>
      </c>
      <c r="B80" s="2">
        <v>0.78611111111111109</v>
      </c>
      <c r="C80" s="2"/>
      <c r="D80" s="1" t="s">
        <v>74</v>
      </c>
      <c r="F80" s="1" t="s">
        <v>49</v>
      </c>
      <c r="G80" s="1" t="s">
        <v>75</v>
      </c>
      <c r="H80" s="1" t="s">
        <v>76</v>
      </c>
    </row>
    <row r="81" spans="1:8" x14ac:dyDescent="0.3">
      <c r="A81" s="1">
        <v>103</v>
      </c>
      <c r="B81" s="2">
        <v>0.78611111111111109</v>
      </c>
      <c r="C81" s="2"/>
      <c r="D81" s="1" t="s">
        <v>55</v>
      </c>
      <c r="F81" s="1" t="s">
        <v>49</v>
      </c>
      <c r="G81" s="1" t="s">
        <v>76</v>
      </c>
    </row>
    <row r="82" spans="1:8" x14ac:dyDescent="0.3">
      <c r="A82" s="1">
        <v>104</v>
      </c>
      <c r="B82" s="2">
        <v>0.77430555555555558</v>
      </c>
      <c r="C82" s="2"/>
      <c r="D82" s="1" t="s">
        <v>55</v>
      </c>
      <c r="F82" s="1" t="s">
        <v>49</v>
      </c>
      <c r="G82" s="1" t="s">
        <v>76</v>
      </c>
      <c r="H82" s="1" t="s">
        <v>64</v>
      </c>
    </row>
    <row r="83" spans="1:8" x14ac:dyDescent="0.3">
      <c r="A83" s="1">
        <v>61</v>
      </c>
      <c r="B83" s="2">
        <v>0.85555555555555551</v>
      </c>
      <c r="C83" s="2"/>
      <c r="D83" s="1" t="s">
        <v>47</v>
      </c>
      <c r="F83" s="1" t="s">
        <v>48</v>
      </c>
      <c r="G83" s="1" t="s">
        <v>49</v>
      </c>
    </row>
    <row r="84" spans="1:8" x14ac:dyDescent="0.3">
      <c r="A84" s="1">
        <v>62</v>
      </c>
      <c r="B84" s="2">
        <v>0.85555555555555551</v>
      </c>
      <c r="C84" s="2"/>
      <c r="D84" s="1" t="s">
        <v>50</v>
      </c>
      <c r="F84" s="1" t="s">
        <v>48</v>
      </c>
      <c r="G84" s="1" t="s">
        <v>49</v>
      </c>
      <c r="H84" s="1" t="s">
        <v>51</v>
      </c>
    </row>
    <row r="85" spans="1:8" x14ac:dyDescent="0.3">
      <c r="A85" s="1">
        <v>63</v>
      </c>
      <c r="B85" s="2">
        <v>0.86805555555555558</v>
      </c>
      <c r="C85" s="2"/>
      <c r="D85" s="1" t="s">
        <v>50</v>
      </c>
      <c r="F85" s="1" t="s">
        <v>48</v>
      </c>
      <c r="G85" s="1" t="s">
        <v>51</v>
      </c>
      <c r="H85" s="1" t="s">
        <v>52</v>
      </c>
    </row>
    <row r="86" spans="1:8" x14ac:dyDescent="0.3">
      <c r="A86" s="1">
        <v>64</v>
      </c>
      <c r="B86" s="2">
        <v>0.88888888888888884</v>
      </c>
      <c r="C86" s="2"/>
      <c r="D86" s="1" t="s">
        <v>50</v>
      </c>
      <c r="F86" s="1" t="s">
        <v>48</v>
      </c>
      <c r="G86" s="1" t="s">
        <v>52</v>
      </c>
      <c r="H86" s="1" t="s">
        <v>3</v>
      </c>
    </row>
    <row r="87" spans="1:8" x14ac:dyDescent="0.3">
      <c r="A87" s="1">
        <v>65</v>
      </c>
      <c r="B87" s="2">
        <v>0.89444444444444449</v>
      </c>
      <c r="C87" s="2"/>
      <c r="D87" s="1" t="s">
        <v>50</v>
      </c>
      <c r="F87" s="1" t="s">
        <v>48</v>
      </c>
      <c r="G87" s="1" t="s">
        <v>3</v>
      </c>
    </row>
    <row r="88" spans="1:8" x14ac:dyDescent="0.3">
      <c r="A88" s="1">
        <v>66</v>
      </c>
      <c r="B88" s="2">
        <v>0.89444444444444449</v>
      </c>
      <c r="C88" s="2"/>
      <c r="D88" s="1" t="s">
        <v>53</v>
      </c>
      <c r="F88" s="1" t="s">
        <v>48</v>
      </c>
      <c r="G88" s="1" t="s">
        <v>3</v>
      </c>
    </row>
    <row r="89" spans="1:8" x14ac:dyDescent="0.3">
      <c r="A89" s="1">
        <v>67</v>
      </c>
      <c r="B89" s="2">
        <v>0.90277777777777779</v>
      </c>
      <c r="C89" s="2"/>
      <c r="D89" s="1" t="s">
        <v>53</v>
      </c>
      <c r="F89" s="1" t="s">
        <v>48</v>
      </c>
      <c r="G89" s="1" t="s">
        <v>3</v>
      </c>
    </row>
    <row r="90" spans="1:8" x14ac:dyDescent="0.3">
      <c r="A90" s="1">
        <v>68</v>
      </c>
      <c r="B90" s="2">
        <v>0.90277777777777779</v>
      </c>
      <c r="C90" s="2"/>
      <c r="D90" s="1" t="s">
        <v>54</v>
      </c>
      <c r="F90" s="1" t="s">
        <v>48</v>
      </c>
      <c r="G90" s="1" t="s">
        <v>3</v>
      </c>
    </row>
    <row r="91" spans="1:8" x14ac:dyDescent="0.3">
      <c r="A91" s="1">
        <v>69</v>
      </c>
      <c r="B91" s="2">
        <v>0.91666666666666663</v>
      </c>
      <c r="C91" s="2"/>
      <c r="D91" s="1" t="s">
        <v>54</v>
      </c>
      <c r="F91" s="1" t="s">
        <v>48</v>
      </c>
      <c r="G91" s="1" t="s">
        <v>3</v>
      </c>
    </row>
    <row r="92" spans="1:8" x14ac:dyDescent="0.3">
      <c r="A92" s="1">
        <v>70</v>
      </c>
      <c r="B92" s="2">
        <v>0.91666666666666663</v>
      </c>
      <c r="C92" s="2"/>
      <c r="D92" s="1" t="s">
        <v>50</v>
      </c>
      <c r="F92" s="1" t="s">
        <v>48</v>
      </c>
      <c r="G92" s="1" t="s">
        <v>3</v>
      </c>
    </row>
    <row r="93" spans="1:8" x14ac:dyDescent="0.3">
      <c r="A93" s="1">
        <v>71</v>
      </c>
      <c r="B93" s="2">
        <v>0.94791666666666663</v>
      </c>
      <c r="C93" s="2"/>
      <c r="D93" s="1" t="s">
        <v>50</v>
      </c>
      <c r="F93" s="1" t="s">
        <v>48</v>
      </c>
      <c r="G93" s="1" t="s">
        <v>3</v>
      </c>
      <c r="H93" s="1" t="s">
        <v>16</v>
      </c>
    </row>
    <row r="94" spans="1:8" x14ac:dyDescent="0.3">
      <c r="A94" s="1">
        <v>72</v>
      </c>
      <c r="B94" s="2">
        <v>0.94791666666666663</v>
      </c>
      <c r="C94" s="2"/>
      <c r="D94" s="1" t="s">
        <v>47</v>
      </c>
      <c r="F94" s="1" t="s">
        <v>48</v>
      </c>
      <c r="G94" s="1" t="s">
        <v>16</v>
      </c>
    </row>
    <row r="95" spans="1:8" x14ac:dyDescent="0.3">
      <c r="A95" s="1">
        <v>73</v>
      </c>
      <c r="B95" s="2">
        <v>0.94791666666666663</v>
      </c>
      <c r="C95" s="2"/>
      <c r="D95" s="1" t="s">
        <v>55</v>
      </c>
      <c r="F95" s="1" t="s">
        <v>48</v>
      </c>
      <c r="G95" s="1" t="s">
        <v>16</v>
      </c>
    </row>
    <row r="96" spans="1:8" x14ac:dyDescent="0.3">
      <c r="A96" s="1">
        <v>74</v>
      </c>
      <c r="B96" s="2">
        <v>0.99305555555555558</v>
      </c>
      <c r="C96" s="2"/>
      <c r="D96" s="1" t="s">
        <v>55</v>
      </c>
      <c r="F96" s="1" t="s">
        <v>48</v>
      </c>
      <c r="G96" s="1" t="s">
        <v>16</v>
      </c>
    </row>
    <row r="97" spans="1:8" x14ac:dyDescent="0.3">
      <c r="A97" s="1">
        <v>75</v>
      </c>
      <c r="B97" s="2">
        <v>0.99305555555555558</v>
      </c>
      <c r="C97" s="2"/>
      <c r="D97" s="1" t="s">
        <v>56</v>
      </c>
      <c r="F97" s="1" t="s">
        <v>48</v>
      </c>
      <c r="G97" s="1" t="s">
        <v>57</v>
      </c>
      <c r="H97" s="1" t="s">
        <v>16</v>
      </c>
    </row>
    <row r="98" spans="1:8" x14ac:dyDescent="0.3">
      <c r="A98" s="1">
        <v>76</v>
      </c>
      <c r="B98" s="2">
        <v>0.99305555555555558</v>
      </c>
      <c r="C98" s="2"/>
      <c r="D98" s="1" t="s">
        <v>58</v>
      </c>
      <c r="F98" s="1" t="s">
        <v>48</v>
      </c>
      <c r="G98" s="1" t="s">
        <v>57</v>
      </c>
      <c r="H98" s="1" t="s">
        <v>59</v>
      </c>
    </row>
    <row r="99" spans="1:8" x14ac:dyDescent="0.3">
      <c r="A99" s="1">
        <v>77</v>
      </c>
      <c r="B99" s="2">
        <v>0.95833333333333337</v>
      </c>
      <c r="C99" s="2"/>
      <c r="D99" s="1" t="s">
        <v>58</v>
      </c>
      <c r="F99" s="1" t="s">
        <v>48</v>
      </c>
      <c r="G99" s="1" t="s">
        <v>60</v>
      </c>
      <c r="H99" s="1" t="s">
        <v>59</v>
      </c>
    </row>
    <row r="100" spans="1:8" x14ac:dyDescent="0.3">
      <c r="A100" s="1">
        <v>78</v>
      </c>
      <c r="B100" s="2">
        <v>0.91111111111111109</v>
      </c>
      <c r="C100" s="2"/>
      <c r="D100" s="1" t="s">
        <v>58</v>
      </c>
      <c r="F100" s="1" t="s">
        <v>48</v>
      </c>
      <c r="G100" s="1" t="s">
        <v>61</v>
      </c>
      <c r="H100" s="1" t="s">
        <v>60</v>
      </c>
    </row>
    <row r="101" spans="1:8" x14ac:dyDescent="0.3">
      <c r="A101" s="1">
        <v>79</v>
      </c>
      <c r="B101" s="2">
        <v>0.91111111111111109</v>
      </c>
      <c r="C101" s="2"/>
      <c r="D101" s="1" t="s">
        <v>62</v>
      </c>
      <c r="F101" s="1" t="s">
        <v>48</v>
      </c>
      <c r="G101" s="1" t="s">
        <v>61</v>
      </c>
    </row>
    <row r="102" spans="1:8" x14ac:dyDescent="0.3">
      <c r="A102" s="1">
        <v>80</v>
      </c>
      <c r="B102" s="2">
        <v>0.88888888888888884</v>
      </c>
      <c r="C102" s="2"/>
      <c r="D102" s="1" t="s">
        <v>62</v>
      </c>
      <c r="F102" s="1" t="s">
        <v>48</v>
      </c>
      <c r="G102" s="1" t="s">
        <v>61</v>
      </c>
    </row>
    <row r="103" spans="1:8" x14ac:dyDescent="0.3">
      <c r="A103" s="1">
        <v>81</v>
      </c>
      <c r="B103" s="2">
        <v>0.88888888888888884</v>
      </c>
      <c r="C103" s="2"/>
      <c r="D103" s="1" t="s">
        <v>63</v>
      </c>
      <c r="F103" s="1" t="s">
        <v>48</v>
      </c>
      <c r="G103" s="1" t="s">
        <v>61</v>
      </c>
    </row>
    <row r="104" spans="1:8" x14ac:dyDescent="0.3">
      <c r="A104" s="1">
        <v>82</v>
      </c>
      <c r="B104" s="2">
        <v>0.85555555555555551</v>
      </c>
      <c r="C104" s="2"/>
      <c r="D104" s="1" t="s">
        <v>63</v>
      </c>
      <c r="F104" s="1" t="s">
        <v>48</v>
      </c>
      <c r="G104" s="1" t="s">
        <v>61</v>
      </c>
    </row>
    <row r="105" spans="1:8" x14ac:dyDescent="0.3">
      <c r="A105" s="1">
        <v>83</v>
      </c>
      <c r="B105" s="2">
        <v>0.85555555555555551</v>
      </c>
      <c r="C105" s="2"/>
      <c r="D105" s="1" t="s">
        <v>62</v>
      </c>
      <c r="F105" s="1" t="s">
        <v>48</v>
      </c>
      <c r="G105" s="1" t="s">
        <v>49</v>
      </c>
      <c r="H105" s="1" t="s">
        <v>61</v>
      </c>
    </row>
    <row r="106" spans="1:8" x14ac:dyDescent="0.3">
      <c r="A106" s="1">
        <v>105</v>
      </c>
      <c r="B106" s="2">
        <v>0.68420138888888893</v>
      </c>
      <c r="C106" s="2"/>
      <c r="D106" s="1" t="s">
        <v>77</v>
      </c>
      <c r="F106" s="1" t="s">
        <v>42</v>
      </c>
      <c r="G106" s="1" t="s">
        <v>78</v>
      </c>
      <c r="H106" s="1" t="s">
        <v>43</v>
      </c>
    </row>
    <row r="107" spans="1:8" x14ac:dyDescent="0.3">
      <c r="A107" s="1">
        <v>106</v>
      </c>
      <c r="B107" s="2">
        <v>0.68420138888888893</v>
      </c>
      <c r="C107" s="2"/>
      <c r="D107" s="1" t="s">
        <v>79</v>
      </c>
      <c r="F107" s="1" t="s">
        <v>42</v>
      </c>
      <c r="G107" s="1" t="s">
        <v>78</v>
      </c>
      <c r="H107" s="1" t="s">
        <v>80</v>
      </c>
    </row>
    <row r="108" spans="1:8" x14ac:dyDescent="0.3">
      <c r="A108" s="1">
        <v>107</v>
      </c>
      <c r="B108" s="2">
        <v>0.74305555555555558</v>
      </c>
      <c r="C108" s="2"/>
      <c r="D108" s="1" t="s">
        <v>79</v>
      </c>
      <c r="F108" s="1" t="s">
        <v>42</v>
      </c>
      <c r="G108" s="1" t="s">
        <v>81</v>
      </c>
      <c r="H108" s="1" t="s">
        <v>80</v>
      </c>
    </row>
    <row r="109" spans="1:8" x14ac:dyDescent="0.3">
      <c r="A109" s="1">
        <v>108</v>
      </c>
      <c r="B109" s="2">
        <v>0.75</v>
      </c>
      <c r="C109" s="2"/>
      <c r="D109" s="1" t="s">
        <v>79</v>
      </c>
      <c r="F109" s="1" t="s">
        <v>42</v>
      </c>
      <c r="G109" s="1" t="s">
        <v>81</v>
      </c>
      <c r="H109" s="1" t="s">
        <v>82</v>
      </c>
    </row>
    <row r="110" spans="1:8" x14ac:dyDescent="0.3">
      <c r="A110" s="1">
        <v>109</v>
      </c>
      <c r="B110" s="2">
        <v>0.75</v>
      </c>
      <c r="C110" s="2"/>
      <c r="D110" s="1" t="s">
        <v>83</v>
      </c>
      <c r="F110" s="1" t="s">
        <v>42</v>
      </c>
      <c r="G110" s="1" t="s">
        <v>40</v>
      </c>
      <c r="H110" s="1" t="s">
        <v>82</v>
      </c>
    </row>
    <row r="111" spans="1:8" x14ac:dyDescent="0.3">
      <c r="A111" s="1">
        <v>110</v>
      </c>
      <c r="B111" s="2">
        <v>0.72916666666666663</v>
      </c>
      <c r="C111" s="2"/>
      <c r="D111" s="1" t="s">
        <v>83</v>
      </c>
      <c r="F111" s="1" t="s">
        <v>42</v>
      </c>
      <c r="G111" s="1" t="s">
        <v>40</v>
      </c>
    </row>
    <row r="112" spans="1:8" x14ac:dyDescent="0.3">
      <c r="A112" s="1">
        <v>111</v>
      </c>
      <c r="B112" s="2">
        <v>0.70138888888888884</v>
      </c>
      <c r="C112" s="2"/>
      <c r="D112" s="1" t="s">
        <v>41</v>
      </c>
      <c r="F112" s="1" t="s">
        <v>42</v>
      </c>
      <c r="G112" s="1" t="s">
        <v>43</v>
      </c>
    </row>
    <row r="113" spans="1:8" x14ac:dyDescent="0.3">
      <c r="A113" s="1">
        <v>112</v>
      </c>
      <c r="B113" s="2">
        <v>0.70138888888888884</v>
      </c>
      <c r="C113" s="2"/>
      <c r="D113" s="1" t="s">
        <v>84</v>
      </c>
      <c r="F113" s="1" t="s">
        <v>42</v>
      </c>
      <c r="G113" s="1" t="s">
        <v>43</v>
      </c>
    </row>
    <row r="114" spans="1:8" x14ac:dyDescent="0.3">
      <c r="A114" s="1">
        <v>113</v>
      </c>
      <c r="B114" s="2">
        <v>0.69791666666666663</v>
      </c>
      <c r="C114" s="2"/>
      <c r="D114" s="1" t="s">
        <v>84</v>
      </c>
      <c r="F114" s="1" t="s">
        <v>42</v>
      </c>
      <c r="G114" s="1" t="s">
        <v>43</v>
      </c>
    </row>
    <row r="115" spans="1:8" x14ac:dyDescent="0.3">
      <c r="A115" s="1">
        <v>114</v>
      </c>
      <c r="B115" s="2">
        <v>0.69791666666666663</v>
      </c>
      <c r="C115" s="2"/>
      <c r="D115" s="1" t="s">
        <v>85</v>
      </c>
      <c r="F115" s="1" t="s">
        <v>42</v>
      </c>
      <c r="G115" s="1" t="s">
        <v>43</v>
      </c>
    </row>
    <row r="116" spans="1:8" x14ac:dyDescent="0.3">
      <c r="A116" s="1">
        <v>115</v>
      </c>
      <c r="B116" s="2">
        <v>0.69097222222222221</v>
      </c>
      <c r="C116" s="2"/>
      <c r="D116" s="1" t="s">
        <v>85</v>
      </c>
      <c r="F116" s="1" t="s">
        <v>42</v>
      </c>
      <c r="G116" s="1" t="s">
        <v>43</v>
      </c>
    </row>
    <row r="117" spans="1:8" x14ac:dyDescent="0.3">
      <c r="A117" s="1">
        <v>116</v>
      </c>
      <c r="B117" s="2">
        <v>0.69097222222222221</v>
      </c>
      <c r="C117" s="2"/>
      <c r="D117" s="1" t="s">
        <v>86</v>
      </c>
      <c r="F117" s="1" t="s">
        <v>42</v>
      </c>
      <c r="G117" s="1" t="s">
        <v>43</v>
      </c>
    </row>
    <row r="118" spans="1:8" x14ac:dyDescent="0.3">
      <c r="A118" s="1">
        <v>117</v>
      </c>
      <c r="B118" s="2">
        <v>0.68420138888888893</v>
      </c>
      <c r="C118" s="2"/>
      <c r="D118" s="1" t="s">
        <v>86</v>
      </c>
      <c r="F118" s="1" t="s">
        <v>42</v>
      </c>
      <c r="G118" s="1" t="s">
        <v>43</v>
      </c>
    </row>
    <row r="119" spans="1:8" x14ac:dyDescent="0.3">
      <c r="A119" s="1">
        <v>118</v>
      </c>
      <c r="B119" s="2">
        <v>8.3333333333333329E-2</v>
      </c>
      <c r="C119" s="2"/>
      <c r="D119" s="1" t="s">
        <v>87</v>
      </c>
      <c r="F119" s="1" t="s">
        <v>88</v>
      </c>
      <c r="G119" s="1" t="s">
        <v>57</v>
      </c>
      <c r="H119" s="1" t="s">
        <v>16</v>
      </c>
    </row>
    <row r="120" spans="1:8" x14ac:dyDescent="0.3">
      <c r="A120" s="1">
        <v>119</v>
      </c>
      <c r="B120" s="2">
        <v>6.9444444444444448E-2</v>
      </c>
      <c r="C120" s="2"/>
      <c r="D120" s="1" t="s">
        <v>87</v>
      </c>
      <c r="F120" s="1" t="s">
        <v>88</v>
      </c>
      <c r="G120" s="1" t="s">
        <v>16</v>
      </c>
    </row>
    <row r="121" spans="1:8" x14ac:dyDescent="0.3">
      <c r="A121" s="1">
        <v>120</v>
      </c>
      <c r="B121" s="2">
        <v>6.9444444444444448E-2</v>
      </c>
      <c r="C121" s="2"/>
      <c r="D121" s="1" t="s">
        <v>89</v>
      </c>
      <c r="F121" s="1" t="s">
        <v>88</v>
      </c>
      <c r="G121" s="1" t="s">
        <v>16</v>
      </c>
      <c r="H121" s="1" t="s">
        <v>13</v>
      </c>
    </row>
    <row r="122" spans="1:8" x14ac:dyDescent="0.3">
      <c r="A122" s="1">
        <v>121</v>
      </c>
      <c r="B122" s="2">
        <v>7.9861111111111105E-2</v>
      </c>
      <c r="C122" s="2"/>
      <c r="D122" s="1" t="s">
        <v>89</v>
      </c>
      <c r="F122" s="1" t="s">
        <v>88</v>
      </c>
      <c r="G122" s="1" t="s">
        <v>13</v>
      </c>
    </row>
    <row r="123" spans="1:8" x14ac:dyDescent="0.3">
      <c r="A123" s="1">
        <v>122</v>
      </c>
      <c r="B123" s="2">
        <v>7.9861111111111105E-2</v>
      </c>
      <c r="C123" s="2"/>
      <c r="D123" s="1" t="s">
        <v>90</v>
      </c>
      <c r="F123" s="1" t="s">
        <v>88</v>
      </c>
      <c r="G123" s="1" t="s">
        <v>13</v>
      </c>
    </row>
    <row r="124" spans="1:8" x14ac:dyDescent="0.3">
      <c r="A124" s="1">
        <v>123</v>
      </c>
      <c r="B124" s="2">
        <v>0.10069444444444445</v>
      </c>
      <c r="C124" s="2"/>
      <c r="D124" s="1" t="s">
        <v>90</v>
      </c>
      <c r="F124" s="1" t="s">
        <v>88</v>
      </c>
      <c r="G124" s="1" t="s">
        <v>13</v>
      </c>
    </row>
    <row r="125" spans="1:8" x14ac:dyDescent="0.3">
      <c r="A125" s="1">
        <v>124</v>
      </c>
      <c r="B125" s="2">
        <v>0.10069444444444445</v>
      </c>
      <c r="C125" s="2"/>
      <c r="D125" s="1" t="s">
        <v>91</v>
      </c>
      <c r="F125" s="1" t="s">
        <v>88</v>
      </c>
      <c r="G125" s="1" t="s">
        <v>13</v>
      </c>
    </row>
    <row r="126" spans="1:8" x14ac:dyDescent="0.3">
      <c r="A126" s="1">
        <v>125</v>
      </c>
      <c r="B126" s="2">
        <v>0.11319444444444444</v>
      </c>
      <c r="C126" s="2"/>
      <c r="D126" s="1" t="s">
        <v>91</v>
      </c>
      <c r="F126" s="1" t="s">
        <v>88</v>
      </c>
      <c r="G126" s="1" t="s">
        <v>9</v>
      </c>
      <c r="H126" s="1" t="s">
        <v>13</v>
      </c>
    </row>
    <row r="127" spans="1:8" x14ac:dyDescent="0.3">
      <c r="A127" s="1">
        <v>126</v>
      </c>
      <c r="B127" s="2">
        <v>0.14027777777777778</v>
      </c>
      <c r="C127" s="2"/>
      <c r="D127" s="1" t="s">
        <v>91</v>
      </c>
      <c r="F127" s="1" t="s">
        <v>88</v>
      </c>
      <c r="G127" s="1" t="s">
        <v>9</v>
      </c>
      <c r="H127" s="1" t="s">
        <v>92</v>
      </c>
    </row>
    <row r="128" spans="1:8" x14ac:dyDescent="0.3">
      <c r="A128" s="1">
        <v>127</v>
      </c>
      <c r="B128" s="2">
        <v>0.14027777777777778</v>
      </c>
      <c r="C128" s="2"/>
      <c r="D128" s="1" t="s">
        <v>93</v>
      </c>
      <c r="F128" s="1" t="s">
        <v>88</v>
      </c>
      <c r="G128" s="1" t="s">
        <v>92</v>
      </c>
    </row>
    <row r="129" spans="1:8" x14ac:dyDescent="0.3">
      <c r="A129" s="1">
        <v>128</v>
      </c>
      <c r="B129" s="2">
        <v>0.13680555555555557</v>
      </c>
      <c r="C129" s="2"/>
      <c r="D129" s="1" t="s">
        <v>93</v>
      </c>
      <c r="F129" s="1" t="s">
        <v>88</v>
      </c>
      <c r="G129" s="1" t="s">
        <v>92</v>
      </c>
    </row>
    <row r="130" spans="1:8" x14ac:dyDescent="0.3">
      <c r="A130" s="1">
        <v>129</v>
      </c>
      <c r="B130" s="2">
        <v>0.13680555555555557</v>
      </c>
      <c r="C130" s="2"/>
      <c r="D130" s="1" t="s">
        <v>87</v>
      </c>
      <c r="F130" s="1" t="s">
        <v>88</v>
      </c>
      <c r="G130" s="1" t="s">
        <v>57</v>
      </c>
      <c r="H130" s="1" t="s">
        <v>92</v>
      </c>
    </row>
    <row r="131" spans="1:8" x14ac:dyDescent="0.3">
      <c r="A131" s="1">
        <v>130</v>
      </c>
      <c r="B131" s="2">
        <v>0.1875</v>
      </c>
      <c r="C131" s="2"/>
      <c r="D131" s="1" t="s">
        <v>91</v>
      </c>
      <c r="F131" s="1" t="s">
        <v>94</v>
      </c>
      <c r="G131" s="1" t="s">
        <v>9</v>
      </c>
      <c r="H131" s="1" t="s">
        <v>92</v>
      </c>
    </row>
    <row r="132" spans="1:8" x14ac:dyDescent="0.3">
      <c r="A132" s="1">
        <v>131</v>
      </c>
      <c r="B132" s="2">
        <v>0.1875</v>
      </c>
      <c r="C132" s="2"/>
      <c r="D132" s="1" t="s">
        <v>95</v>
      </c>
      <c r="F132" s="1" t="s">
        <v>94</v>
      </c>
      <c r="G132" s="1" t="s">
        <v>9</v>
      </c>
    </row>
    <row r="133" spans="1:8" x14ac:dyDescent="0.3">
      <c r="A133" s="1">
        <v>132</v>
      </c>
      <c r="B133" s="2">
        <v>0.19548611111111111</v>
      </c>
      <c r="C133" s="2"/>
      <c r="D133" s="1" t="s">
        <v>95</v>
      </c>
      <c r="F133" s="1" t="s">
        <v>94</v>
      </c>
      <c r="G133" s="1" t="s">
        <v>9</v>
      </c>
    </row>
    <row r="134" spans="1:8" x14ac:dyDescent="0.3">
      <c r="A134" s="1">
        <v>133</v>
      </c>
      <c r="B134" s="2">
        <v>0.19548611111111111</v>
      </c>
      <c r="C134" s="2"/>
      <c r="D134" s="1" t="s">
        <v>4</v>
      </c>
      <c r="F134" s="1" t="s">
        <v>94</v>
      </c>
      <c r="G134" s="1" t="s">
        <v>96</v>
      </c>
      <c r="H134" s="1" t="s">
        <v>9</v>
      </c>
    </row>
    <row r="135" spans="1:8" x14ac:dyDescent="0.3">
      <c r="A135" s="1">
        <v>134</v>
      </c>
      <c r="B135" s="2">
        <v>0.20833333333333334</v>
      </c>
      <c r="C135" s="2"/>
      <c r="D135" s="1" t="s">
        <v>4</v>
      </c>
      <c r="F135" s="1" t="s">
        <v>94</v>
      </c>
      <c r="G135" s="1" t="s">
        <v>96</v>
      </c>
    </row>
    <row r="136" spans="1:8" x14ac:dyDescent="0.3">
      <c r="A136" s="1">
        <v>135</v>
      </c>
      <c r="B136" s="2">
        <v>0.20833333333333334</v>
      </c>
      <c r="C136" s="2"/>
      <c r="D136" s="1" t="s">
        <v>97</v>
      </c>
      <c r="F136" s="1" t="s">
        <v>94</v>
      </c>
      <c r="G136" s="1" t="s">
        <v>96</v>
      </c>
    </row>
    <row r="137" spans="1:8" x14ac:dyDescent="0.3">
      <c r="A137" s="1">
        <v>136</v>
      </c>
      <c r="B137" s="2">
        <v>0.25416666666666665</v>
      </c>
      <c r="C137" s="2"/>
      <c r="D137" s="1" t="s">
        <v>97</v>
      </c>
      <c r="F137" s="1" t="s">
        <v>94</v>
      </c>
      <c r="G137" s="1" t="s">
        <v>96</v>
      </c>
      <c r="H137" s="1" t="s">
        <v>98</v>
      </c>
    </row>
    <row r="138" spans="1:8" x14ac:dyDescent="0.3">
      <c r="A138" s="1">
        <v>137</v>
      </c>
      <c r="B138" s="2">
        <v>0.25416666666666665</v>
      </c>
      <c r="C138" s="2"/>
      <c r="D138" s="1" t="s">
        <v>99</v>
      </c>
      <c r="F138" s="1" t="s">
        <v>94</v>
      </c>
      <c r="G138" s="1" t="s">
        <v>98</v>
      </c>
    </row>
    <row r="139" spans="1:8" x14ac:dyDescent="0.3">
      <c r="A139" s="1">
        <v>138</v>
      </c>
      <c r="B139" s="2">
        <v>0.27083333333333331</v>
      </c>
      <c r="C139" s="2"/>
      <c r="D139" s="1" t="s">
        <v>99</v>
      </c>
      <c r="F139" s="1" t="s">
        <v>94</v>
      </c>
      <c r="G139" s="1" t="s">
        <v>98</v>
      </c>
    </row>
    <row r="140" spans="1:8" x14ac:dyDescent="0.3">
      <c r="A140" s="1">
        <v>139</v>
      </c>
      <c r="B140" s="2">
        <v>0.27083333333333331</v>
      </c>
      <c r="C140" s="2"/>
      <c r="D140" s="1" t="s">
        <v>6</v>
      </c>
      <c r="F140" s="1" t="s">
        <v>94</v>
      </c>
      <c r="G140" s="1" t="s">
        <v>98</v>
      </c>
    </row>
    <row r="141" spans="1:8" x14ac:dyDescent="0.3">
      <c r="A141" s="1">
        <v>140</v>
      </c>
      <c r="B141" s="2">
        <v>0.28333333333333333</v>
      </c>
      <c r="C141" s="2"/>
      <c r="D141" s="1" t="s">
        <v>6</v>
      </c>
      <c r="F141" s="1" t="s">
        <v>94</v>
      </c>
      <c r="G141" s="1" t="s">
        <v>98</v>
      </c>
    </row>
    <row r="142" spans="1:8" x14ac:dyDescent="0.3">
      <c r="A142" s="1">
        <v>141</v>
      </c>
      <c r="B142" s="2">
        <v>0.28333333333333333</v>
      </c>
      <c r="C142" s="2"/>
      <c r="D142" s="1" t="s">
        <v>100</v>
      </c>
      <c r="F142" s="1" t="s">
        <v>94</v>
      </c>
      <c r="G142" s="1" t="s">
        <v>98</v>
      </c>
    </row>
    <row r="143" spans="1:8" x14ac:dyDescent="0.3">
      <c r="A143" s="1">
        <v>142</v>
      </c>
      <c r="B143" s="2">
        <v>0.30694444444444446</v>
      </c>
      <c r="C143" s="2"/>
      <c r="D143" s="1" t="s">
        <v>100</v>
      </c>
      <c r="F143" s="1" t="s">
        <v>94</v>
      </c>
      <c r="G143" s="1" t="s">
        <v>98</v>
      </c>
    </row>
    <row r="144" spans="1:8" x14ac:dyDescent="0.3">
      <c r="A144" s="1">
        <v>143</v>
      </c>
      <c r="B144" s="2">
        <v>0.30694444444444446</v>
      </c>
      <c r="C144" s="2"/>
      <c r="D144" s="1" t="s">
        <v>101</v>
      </c>
      <c r="F144" s="1" t="s">
        <v>94</v>
      </c>
      <c r="G144" s="1" t="s">
        <v>102</v>
      </c>
      <c r="H144" s="1" t="s">
        <v>98</v>
      </c>
    </row>
    <row r="145" spans="1:8" x14ac:dyDescent="0.3">
      <c r="A145" s="1">
        <v>144</v>
      </c>
      <c r="B145" s="2">
        <v>0.2722222222222222</v>
      </c>
      <c r="C145" s="2"/>
      <c r="D145" s="1" t="s">
        <v>101</v>
      </c>
      <c r="F145" s="1" t="s">
        <v>94</v>
      </c>
      <c r="G145" s="1" t="s">
        <v>102</v>
      </c>
    </row>
    <row r="146" spans="1:8" x14ac:dyDescent="0.3">
      <c r="A146" s="1">
        <v>145</v>
      </c>
      <c r="B146" s="2">
        <v>0.2722222222222222</v>
      </c>
      <c r="C146" s="2"/>
      <c r="D146" s="1" t="s">
        <v>20</v>
      </c>
      <c r="F146" s="1" t="s">
        <v>94</v>
      </c>
      <c r="G146" s="1" t="s">
        <v>102</v>
      </c>
    </row>
    <row r="147" spans="1:8" x14ac:dyDescent="0.3">
      <c r="A147" s="1">
        <v>146</v>
      </c>
      <c r="B147" s="2">
        <v>0.24513888888888888</v>
      </c>
      <c r="C147" s="2"/>
      <c r="D147" s="1" t="s">
        <v>20</v>
      </c>
      <c r="F147" s="1" t="s">
        <v>94</v>
      </c>
      <c r="G147" s="1" t="s">
        <v>102</v>
      </c>
      <c r="H147" s="1" t="s">
        <v>92</v>
      </c>
    </row>
    <row r="148" spans="1:8" x14ac:dyDescent="0.3">
      <c r="A148" s="1">
        <v>147</v>
      </c>
      <c r="B148" s="2">
        <v>0.24513888888888888</v>
      </c>
      <c r="C148" s="2"/>
      <c r="D148" s="1" t="s">
        <v>103</v>
      </c>
      <c r="F148" s="1" t="s">
        <v>94</v>
      </c>
      <c r="G148" s="1" t="s">
        <v>92</v>
      </c>
    </row>
    <row r="149" spans="1:8" x14ac:dyDescent="0.3">
      <c r="A149" s="1">
        <v>148</v>
      </c>
      <c r="B149" s="2">
        <v>0.19791666666666666</v>
      </c>
      <c r="C149" s="2"/>
      <c r="D149" s="1" t="s">
        <v>103</v>
      </c>
      <c r="F149" s="1" t="s">
        <v>94</v>
      </c>
      <c r="G149" s="1" t="s">
        <v>92</v>
      </c>
    </row>
    <row r="150" spans="1:8" x14ac:dyDescent="0.3">
      <c r="A150" s="1">
        <v>149</v>
      </c>
      <c r="B150" s="2">
        <v>0.19791666666666666</v>
      </c>
      <c r="C150" s="2"/>
      <c r="D150" s="1" t="s">
        <v>104</v>
      </c>
      <c r="F150" s="1" t="s">
        <v>94</v>
      </c>
      <c r="G150" s="1" t="s">
        <v>92</v>
      </c>
    </row>
    <row r="151" spans="1:8" x14ac:dyDescent="0.3">
      <c r="A151" s="1">
        <v>150</v>
      </c>
      <c r="B151" s="2">
        <v>0.1875</v>
      </c>
      <c r="C151" s="2"/>
      <c r="D151" s="1" t="s">
        <v>104</v>
      </c>
      <c r="F151" s="1" t="s">
        <v>94</v>
      </c>
      <c r="G151" s="1" t="s">
        <v>92</v>
      </c>
    </row>
    <row r="152" spans="1:8" x14ac:dyDescent="0.3">
      <c r="A152" s="1">
        <v>151</v>
      </c>
      <c r="B152" s="2">
        <v>0.62847222222222221</v>
      </c>
      <c r="C152" s="2"/>
      <c r="D152" s="1" t="s">
        <v>105</v>
      </c>
      <c r="F152" s="1" t="s">
        <v>106</v>
      </c>
      <c r="G152" s="1" t="s">
        <v>107</v>
      </c>
      <c r="H152" s="1" t="s">
        <v>108</v>
      </c>
    </row>
    <row r="153" spans="1:8" x14ac:dyDescent="0.3">
      <c r="A153" s="1">
        <v>152</v>
      </c>
      <c r="B153" s="2">
        <v>0.5625</v>
      </c>
      <c r="C153" s="2"/>
      <c r="D153" s="1" t="s">
        <v>105</v>
      </c>
      <c r="F153" s="1" t="s">
        <v>106</v>
      </c>
      <c r="G153" s="1" t="s">
        <v>108</v>
      </c>
    </row>
    <row r="154" spans="1:8" x14ac:dyDescent="0.3">
      <c r="A154" s="1">
        <v>153</v>
      </c>
      <c r="B154" s="2">
        <v>0.5625</v>
      </c>
      <c r="C154" s="2"/>
      <c r="D154" s="1" t="s">
        <v>109</v>
      </c>
      <c r="F154" s="1" t="s">
        <v>106</v>
      </c>
      <c r="G154" s="1" t="s">
        <v>110</v>
      </c>
      <c r="H154" s="1" t="s">
        <v>108</v>
      </c>
    </row>
    <row r="155" spans="1:8" x14ac:dyDescent="0.3">
      <c r="A155" s="1">
        <v>154</v>
      </c>
      <c r="B155" s="2">
        <v>0.5625</v>
      </c>
      <c r="C155" s="2"/>
      <c r="D155" s="1" t="s">
        <v>103</v>
      </c>
      <c r="F155" s="1" t="s">
        <v>106</v>
      </c>
      <c r="G155" s="1" t="s">
        <v>111</v>
      </c>
      <c r="H155" s="1" t="s">
        <v>110</v>
      </c>
    </row>
    <row r="156" spans="1:8" x14ac:dyDescent="0.3">
      <c r="A156" s="1">
        <v>155</v>
      </c>
      <c r="B156" s="2">
        <v>0.58159722222222221</v>
      </c>
      <c r="C156" s="2"/>
      <c r="D156" s="1" t="s">
        <v>103</v>
      </c>
      <c r="F156" s="1" t="s">
        <v>106</v>
      </c>
      <c r="G156" s="1" t="s">
        <v>111</v>
      </c>
    </row>
    <row r="157" spans="1:8" x14ac:dyDescent="0.3">
      <c r="A157" s="1">
        <v>156</v>
      </c>
      <c r="B157" s="2">
        <v>0.58159722222222221</v>
      </c>
      <c r="C157" s="2"/>
      <c r="D157" s="1" t="s">
        <v>112</v>
      </c>
      <c r="F157" s="1" t="s">
        <v>106</v>
      </c>
      <c r="G157" s="1" t="s">
        <v>111</v>
      </c>
    </row>
    <row r="158" spans="1:8" x14ac:dyDescent="0.3">
      <c r="A158" s="1">
        <v>157</v>
      </c>
      <c r="B158" s="2">
        <v>0.58472222222222225</v>
      </c>
      <c r="C158" s="2"/>
      <c r="D158" s="1" t="s">
        <v>112</v>
      </c>
      <c r="F158" s="1" t="s">
        <v>106</v>
      </c>
      <c r="G158" s="1" t="s">
        <v>111</v>
      </c>
    </row>
    <row r="159" spans="1:8" x14ac:dyDescent="0.3">
      <c r="A159" s="1">
        <v>158</v>
      </c>
      <c r="B159" s="2">
        <v>0.58472222222222225</v>
      </c>
      <c r="C159" s="2"/>
      <c r="D159" s="1" t="s">
        <v>113</v>
      </c>
      <c r="F159" s="1" t="s">
        <v>106</v>
      </c>
      <c r="G159" s="1" t="s">
        <v>111</v>
      </c>
      <c r="H159" s="1" t="s">
        <v>114</v>
      </c>
    </row>
    <row r="160" spans="1:8" x14ac:dyDescent="0.3">
      <c r="A160" s="1">
        <v>159</v>
      </c>
      <c r="B160" s="2">
        <v>0.58472222222222225</v>
      </c>
      <c r="C160" s="2"/>
      <c r="D160" s="1" t="s">
        <v>115</v>
      </c>
      <c r="F160" s="1" t="s">
        <v>106</v>
      </c>
      <c r="G160" s="1" t="s">
        <v>114</v>
      </c>
    </row>
    <row r="161" spans="1:8" x14ac:dyDescent="0.3">
      <c r="A161" s="1">
        <v>160</v>
      </c>
      <c r="B161" s="2">
        <v>0.60069444444444442</v>
      </c>
      <c r="C161" s="2"/>
      <c r="D161" s="1" t="s">
        <v>115</v>
      </c>
      <c r="F161" s="1" t="s">
        <v>106</v>
      </c>
      <c r="G161" s="1" t="s">
        <v>116</v>
      </c>
      <c r="H161" s="1" t="s">
        <v>114</v>
      </c>
    </row>
    <row r="162" spans="1:8" x14ac:dyDescent="0.3">
      <c r="A162" s="1">
        <v>161</v>
      </c>
      <c r="B162" s="2">
        <v>0.63541666666666663</v>
      </c>
      <c r="C162" s="2"/>
      <c r="D162" s="1" t="s">
        <v>115</v>
      </c>
      <c r="F162" s="1" t="s">
        <v>106</v>
      </c>
      <c r="G162" s="1" t="s">
        <v>116</v>
      </c>
    </row>
    <row r="163" spans="1:8" x14ac:dyDescent="0.3">
      <c r="A163" s="1">
        <v>162</v>
      </c>
      <c r="B163" s="2">
        <v>0.63541666666666663</v>
      </c>
      <c r="C163" s="2"/>
      <c r="D163" s="1" t="s">
        <v>117</v>
      </c>
      <c r="F163" s="1" t="s">
        <v>106</v>
      </c>
      <c r="G163" s="1" t="s">
        <v>116</v>
      </c>
    </row>
    <row r="164" spans="1:8" x14ac:dyDescent="0.3">
      <c r="A164" s="1">
        <v>163</v>
      </c>
      <c r="B164" s="2">
        <v>0.65625</v>
      </c>
      <c r="C164" s="2"/>
      <c r="D164" s="1" t="s">
        <v>117</v>
      </c>
      <c r="F164" s="1" t="s">
        <v>106</v>
      </c>
      <c r="G164" s="1" t="s">
        <v>116</v>
      </c>
    </row>
    <row r="165" spans="1:8" x14ac:dyDescent="0.3">
      <c r="A165" s="1">
        <v>164</v>
      </c>
      <c r="B165" s="2">
        <v>0.65625</v>
      </c>
      <c r="C165" s="2"/>
      <c r="D165" s="1" t="s">
        <v>118</v>
      </c>
      <c r="F165" s="1" t="s">
        <v>106</v>
      </c>
      <c r="G165" s="1" t="s">
        <v>116</v>
      </c>
      <c r="H165" s="1" t="s">
        <v>68</v>
      </c>
    </row>
    <row r="166" spans="1:8" x14ac:dyDescent="0.3">
      <c r="A166" s="1">
        <v>165</v>
      </c>
      <c r="B166" s="2">
        <v>0.65625</v>
      </c>
      <c r="C166" s="2"/>
      <c r="D166" s="1" t="s">
        <v>119</v>
      </c>
      <c r="F166" s="1" t="s">
        <v>106</v>
      </c>
      <c r="G166" s="1" t="s">
        <v>120</v>
      </c>
      <c r="H166" s="1" t="s">
        <v>68</v>
      </c>
    </row>
    <row r="167" spans="1:8" x14ac:dyDescent="0.3">
      <c r="A167" s="1">
        <v>166</v>
      </c>
      <c r="B167" s="2">
        <v>0.6430555555555556</v>
      </c>
      <c r="C167" s="2"/>
      <c r="D167" s="1" t="s">
        <v>119</v>
      </c>
      <c r="F167" s="1" t="s">
        <v>106</v>
      </c>
      <c r="G167" s="1" t="s">
        <v>120</v>
      </c>
    </row>
    <row r="168" spans="1:8" x14ac:dyDescent="0.3">
      <c r="A168" s="1">
        <v>167</v>
      </c>
      <c r="B168" s="2">
        <v>0.6430555555555556</v>
      </c>
      <c r="C168" s="2"/>
      <c r="D168" s="1" t="s">
        <v>15</v>
      </c>
      <c r="F168" s="1" t="s">
        <v>106</v>
      </c>
      <c r="G168" s="1" t="s">
        <v>120</v>
      </c>
    </row>
    <row r="169" spans="1:8" x14ac:dyDescent="0.3">
      <c r="A169" s="1">
        <v>168</v>
      </c>
      <c r="B169" s="2">
        <v>0.63263888888888886</v>
      </c>
      <c r="C169" s="2"/>
      <c r="D169" s="1" t="s">
        <v>15</v>
      </c>
      <c r="F169" s="1" t="s">
        <v>106</v>
      </c>
      <c r="G169" s="1" t="s">
        <v>120</v>
      </c>
    </row>
    <row r="170" spans="1:8" x14ac:dyDescent="0.3">
      <c r="A170" s="1">
        <v>169</v>
      </c>
      <c r="B170" s="2">
        <v>0.63263888888888886</v>
      </c>
      <c r="C170" s="2"/>
      <c r="D170" s="1" t="s">
        <v>121</v>
      </c>
      <c r="F170" s="1" t="s">
        <v>106</v>
      </c>
      <c r="G170" s="1" t="s">
        <v>120</v>
      </c>
      <c r="H170" s="1" t="s">
        <v>107</v>
      </c>
    </row>
    <row r="171" spans="1:8" x14ac:dyDescent="0.3">
      <c r="A171" s="1">
        <v>170</v>
      </c>
      <c r="B171" s="2">
        <v>0.62847222222222221</v>
      </c>
      <c r="C171" s="2"/>
      <c r="D171" s="1" t="s">
        <v>121</v>
      </c>
      <c r="F171" s="1" t="s">
        <v>106</v>
      </c>
      <c r="G171" s="1" t="s">
        <v>107</v>
      </c>
    </row>
    <row r="172" spans="1:8" x14ac:dyDescent="0.3">
      <c r="A172" s="1">
        <v>171</v>
      </c>
      <c r="B172" s="2">
        <v>0.17777777777777778</v>
      </c>
      <c r="C172" s="2"/>
      <c r="D172" s="1" t="s">
        <v>122</v>
      </c>
      <c r="F172" s="1" t="s">
        <v>123</v>
      </c>
      <c r="G172" s="1" t="s">
        <v>124</v>
      </c>
      <c r="H172" s="1" t="s">
        <v>125</v>
      </c>
    </row>
    <row r="173" spans="1:8" x14ac:dyDescent="0.3">
      <c r="A173" s="1">
        <v>172</v>
      </c>
      <c r="B173" s="2">
        <v>0.17777777777777778</v>
      </c>
      <c r="C173" s="2"/>
      <c r="D173" s="1" t="s">
        <v>126</v>
      </c>
      <c r="F173" s="1" t="s">
        <v>123</v>
      </c>
      <c r="G173" s="1" t="s">
        <v>127</v>
      </c>
      <c r="H173" s="1" t="s">
        <v>125</v>
      </c>
    </row>
    <row r="174" spans="1:8" x14ac:dyDescent="0.3">
      <c r="A174" s="1">
        <v>173</v>
      </c>
      <c r="B174" s="2">
        <v>0.1875</v>
      </c>
      <c r="C174" s="2"/>
      <c r="D174" s="1" t="s">
        <v>126</v>
      </c>
      <c r="F174" s="1" t="s">
        <v>123</v>
      </c>
      <c r="G174" s="1" t="s">
        <v>127</v>
      </c>
      <c r="H174" s="1" t="s">
        <v>128</v>
      </c>
    </row>
    <row r="175" spans="1:8" x14ac:dyDescent="0.3">
      <c r="A175" s="1">
        <v>174</v>
      </c>
      <c r="B175" s="2">
        <v>0.1875</v>
      </c>
      <c r="C175" s="2"/>
      <c r="D175" s="1" t="s">
        <v>129</v>
      </c>
      <c r="F175" s="1" t="s">
        <v>123</v>
      </c>
      <c r="G175" s="1" t="s">
        <v>128</v>
      </c>
    </row>
    <row r="176" spans="1:8" x14ac:dyDescent="0.3">
      <c r="A176" s="1">
        <v>175</v>
      </c>
      <c r="B176" s="2">
        <v>0.2013888888888889</v>
      </c>
      <c r="C176" s="2"/>
      <c r="D176" s="1" t="s">
        <v>129</v>
      </c>
      <c r="F176" s="1" t="s">
        <v>123</v>
      </c>
      <c r="G176" s="1" t="s">
        <v>128</v>
      </c>
    </row>
    <row r="177" spans="1:8" x14ac:dyDescent="0.3">
      <c r="A177" s="1">
        <v>176</v>
      </c>
      <c r="B177" s="2">
        <v>0.2013888888888889</v>
      </c>
      <c r="C177" s="2"/>
      <c r="D177" s="1" t="s">
        <v>130</v>
      </c>
      <c r="F177" s="1" t="s">
        <v>123</v>
      </c>
      <c r="G177" s="1" t="s">
        <v>128</v>
      </c>
    </row>
    <row r="178" spans="1:8" x14ac:dyDescent="0.3">
      <c r="A178" s="1">
        <v>177</v>
      </c>
      <c r="B178" s="2">
        <v>0.20833333333333334</v>
      </c>
      <c r="C178" s="2"/>
      <c r="D178" s="1" t="s">
        <v>130</v>
      </c>
      <c r="F178" s="1" t="s">
        <v>123</v>
      </c>
      <c r="G178" s="1" t="s">
        <v>131</v>
      </c>
      <c r="H178" s="1" t="s">
        <v>128</v>
      </c>
    </row>
    <row r="179" spans="1:8" x14ac:dyDescent="0.3">
      <c r="A179" s="1">
        <v>178</v>
      </c>
      <c r="B179" s="2">
        <v>0.20833333333333334</v>
      </c>
      <c r="C179" s="2"/>
      <c r="D179" s="1" t="s">
        <v>132</v>
      </c>
      <c r="F179" s="1" t="s">
        <v>123</v>
      </c>
      <c r="G179" s="1" t="s">
        <v>131</v>
      </c>
      <c r="H179" s="1" t="s">
        <v>133</v>
      </c>
    </row>
    <row r="180" spans="1:8" x14ac:dyDescent="0.3">
      <c r="A180" s="1">
        <v>179</v>
      </c>
      <c r="B180" s="2">
        <v>0.2013888888888889</v>
      </c>
      <c r="C180" s="2"/>
      <c r="D180" s="1" t="s">
        <v>132</v>
      </c>
      <c r="F180" s="1" t="s">
        <v>123</v>
      </c>
      <c r="G180" s="1" t="s">
        <v>124</v>
      </c>
      <c r="H180" s="1" t="s">
        <v>133</v>
      </c>
    </row>
    <row r="181" spans="1:8" x14ac:dyDescent="0.3">
      <c r="A181" s="1">
        <v>180</v>
      </c>
      <c r="B181" s="2">
        <v>0.19583333333333333</v>
      </c>
      <c r="C181" s="2"/>
      <c r="D181" s="1" t="s">
        <v>132</v>
      </c>
      <c r="F181" s="1" t="s">
        <v>123</v>
      </c>
      <c r="G181" s="1" t="s">
        <v>124</v>
      </c>
    </row>
    <row r="182" spans="1:8" x14ac:dyDescent="0.3">
      <c r="A182" s="1">
        <v>181</v>
      </c>
      <c r="B182" s="2">
        <v>0.19583333333333333</v>
      </c>
      <c r="C182" s="2"/>
      <c r="D182" s="1" t="s">
        <v>134</v>
      </c>
      <c r="F182" s="1" t="s">
        <v>123</v>
      </c>
      <c r="G182" s="1" t="s">
        <v>124</v>
      </c>
    </row>
    <row r="183" spans="1:8" x14ac:dyDescent="0.3">
      <c r="A183" s="1">
        <v>182</v>
      </c>
      <c r="B183" s="2">
        <v>0.19097222222222221</v>
      </c>
      <c r="C183" s="2"/>
      <c r="D183" s="1" t="s">
        <v>134</v>
      </c>
      <c r="F183" s="1" t="s">
        <v>123</v>
      </c>
      <c r="G183" s="1" t="s">
        <v>124</v>
      </c>
    </row>
    <row r="184" spans="1:8" x14ac:dyDescent="0.3">
      <c r="A184" s="1">
        <v>183</v>
      </c>
      <c r="B184" s="2">
        <v>0.19097222222222221</v>
      </c>
      <c r="C184" s="2"/>
      <c r="D184" s="1" t="s">
        <v>135</v>
      </c>
      <c r="F184" s="1" t="s">
        <v>123</v>
      </c>
      <c r="G184" s="1" t="s">
        <v>124</v>
      </c>
    </row>
    <row r="185" spans="1:8" x14ac:dyDescent="0.3">
      <c r="A185" s="1">
        <v>184</v>
      </c>
      <c r="B185" s="2">
        <v>0.17777777777777778</v>
      </c>
      <c r="C185" s="2"/>
      <c r="D185" s="1" t="s">
        <v>135</v>
      </c>
      <c r="F185" s="1" t="s">
        <v>123</v>
      </c>
      <c r="G185" s="1" t="s">
        <v>124</v>
      </c>
    </row>
    <row r="186" spans="1:8" x14ac:dyDescent="0.3">
      <c r="A186" s="1">
        <v>185</v>
      </c>
      <c r="B186" s="2">
        <v>0.1388888888888889</v>
      </c>
      <c r="C186" s="2"/>
      <c r="D186" s="1" t="s">
        <v>4</v>
      </c>
      <c r="F186" s="1" t="s">
        <v>96</v>
      </c>
      <c r="G186" s="1" t="s">
        <v>9</v>
      </c>
    </row>
    <row r="187" spans="1:8" x14ac:dyDescent="0.3">
      <c r="A187" s="1">
        <v>186</v>
      </c>
      <c r="B187" s="2">
        <v>0.1388888888888889</v>
      </c>
      <c r="C187" s="2"/>
      <c r="D187" s="1" t="s">
        <v>136</v>
      </c>
      <c r="F187" s="1" t="s">
        <v>96</v>
      </c>
      <c r="G187" s="1" t="s">
        <v>9</v>
      </c>
    </row>
    <row r="188" spans="1:8" x14ac:dyDescent="0.3">
      <c r="A188" s="1">
        <v>187</v>
      </c>
      <c r="B188" s="2">
        <v>0.13194444444444445</v>
      </c>
      <c r="C188" s="2"/>
      <c r="D188" s="1" t="s">
        <v>136</v>
      </c>
      <c r="F188" s="1" t="s">
        <v>96</v>
      </c>
      <c r="G188" s="1" t="s">
        <v>9</v>
      </c>
    </row>
    <row r="189" spans="1:8" x14ac:dyDescent="0.3">
      <c r="A189" s="1">
        <v>188</v>
      </c>
      <c r="B189" s="2">
        <v>0.13194444444444445</v>
      </c>
      <c r="C189" s="2"/>
      <c r="D189" s="1" t="s">
        <v>137</v>
      </c>
      <c r="F189" s="1" t="s">
        <v>96</v>
      </c>
      <c r="G189" s="1" t="s">
        <v>9</v>
      </c>
    </row>
    <row r="190" spans="1:8" x14ac:dyDescent="0.3">
      <c r="A190" s="1">
        <v>189</v>
      </c>
      <c r="B190" s="2">
        <v>0.12916666666666668</v>
      </c>
      <c r="C190" s="2"/>
      <c r="D190" s="1" t="s">
        <v>137</v>
      </c>
      <c r="F190" s="1" t="s">
        <v>96</v>
      </c>
      <c r="G190" s="1" t="s">
        <v>5</v>
      </c>
      <c r="H190" s="1" t="s">
        <v>9</v>
      </c>
    </row>
    <row r="191" spans="1:8" x14ac:dyDescent="0.3">
      <c r="A191" s="1">
        <v>190</v>
      </c>
      <c r="B191" s="2">
        <v>0.12916666666666668</v>
      </c>
      <c r="C191" s="2"/>
      <c r="D191" s="1" t="s">
        <v>138</v>
      </c>
      <c r="F191" s="1" t="s">
        <v>96</v>
      </c>
      <c r="G191" s="1" t="s">
        <v>5</v>
      </c>
    </row>
    <row r="192" spans="1:8" x14ac:dyDescent="0.3">
      <c r="A192" s="1">
        <v>191</v>
      </c>
      <c r="B192" s="2">
        <v>0.1423611111111111</v>
      </c>
      <c r="C192" s="2"/>
      <c r="D192" s="1" t="s">
        <v>138</v>
      </c>
      <c r="F192" s="1" t="s">
        <v>96</v>
      </c>
      <c r="G192" s="1" t="s">
        <v>5</v>
      </c>
    </row>
    <row r="193" spans="1:8" x14ac:dyDescent="0.3">
      <c r="A193" s="1">
        <v>192</v>
      </c>
      <c r="B193" s="2">
        <v>0.1423611111111111</v>
      </c>
      <c r="C193" s="2"/>
      <c r="D193" s="1" t="s">
        <v>139</v>
      </c>
      <c r="F193" s="1" t="s">
        <v>96</v>
      </c>
      <c r="G193" s="1" t="s">
        <v>5</v>
      </c>
      <c r="H193" s="1" t="s">
        <v>140</v>
      </c>
    </row>
    <row r="194" spans="1:8" x14ac:dyDescent="0.3">
      <c r="A194" s="1">
        <v>193</v>
      </c>
      <c r="B194" s="2">
        <v>0.14618055555555556</v>
      </c>
      <c r="C194" s="2"/>
      <c r="D194" s="1" t="s">
        <v>139</v>
      </c>
      <c r="F194" s="1" t="s">
        <v>96</v>
      </c>
      <c r="G194" s="1" t="s">
        <v>140</v>
      </c>
    </row>
    <row r="195" spans="1:8" x14ac:dyDescent="0.3">
      <c r="A195" s="1">
        <v>194</v>
      </c>
      <c r="B195" s="2">
        <v>0.14618055555555556</v>
      </c>
      <c r="C195" s="2"/>
      <c r="D195" s="1" t="s">
        <v>141</v>
      </c>
      <c r="F195" s="1" t="s">
        <v>96</v>
      </c>
      <c r="G195" s="1" t="s">
        <v>140</v>
      </c>
    </row>
    <row r="196" spans="1:8" x14ac:dyDescent="0.3">
      <c r="A196" s="1">
        <v>195</v>
      </c>
      <c r="B196" s="2">
        <v>0.20833333333333334</v>
      </c>
      <c r="C196" s="2"/>
      <c r="D196" s="1" t="s">
        <v>141</v>
      </c>
      <c r="F196" s="1" t="s">
        <v>96</v>
      </c>
      <c r="G196" s="1" t="s">
        <v>140</v>
      </c>
    </row>
    <row r="197" spans="1:8" x14ac:dyDescent="0.3">
      <c r="A197" s="1">
        <v>196</v>
      </c>
      <c r="B197" s="2">
        <v>0.20833333333333334</v>
      </c>
      <c r="C197" s="2"/>
      <c r="D197" s="1" t="s">
        <v>142</v>
      </c>
      <c r="F197" s="1" t="s">
        <v>96</v>
      </c>
      <c r="G197" s="1" t="s">
        <v>140</v>
      </c>
    </row>
    <row r="198" spans="1:8" x14ac:dyDescent="0.3">
      <c r="A198" s="1">
        <v>197</v>
      </c>
      <c r="B198" s="2">
        <v>0.33333333333333331</v>
      </c>
      <c r="C198" s="2"/>
      <c r="D198" s="1" t="s">
        <v>142</v>
      </c>
      <c r="F198" s="1" t="s">
        <v>96</v>
      </c>
      <c r="G198" s="1" t="s">
        <v>140</v>
      </c>
    </row>
    <row r="199" spans="1:8" x14ac:dyDescent="0.3">
      <c r="A199" s="1">
        <v>198</v>
      </c>
      <c r="B199" s="2">
        <v>0.33333333333333331</v>
      </c>
      <c r="C199" s="2"/>
      <c r="D199" s="1" t="s">
        <v>143</v>
      </c>
      <c r="F199" s="1" t="s">
        <v>96</v>
      </c>
      <c r="G199" s="1" t="s">
        <v>140</v>
      </c>
      <c r="H199" s="1" t="s">
        <v>144</v>
      </c>
    </row>
    <row r="200" spans="1:8" x14ac:dyDescent="0.3">
      <c r="A200" s="1">
        <v>199</v>
      </c>
      <c r="B200" s="2">
        <v>0.60416666666666663</v>
      </c>
      <c r="C200" s="2"/>
      <c r="D200" s="1" t="s">
        <v>143</v>
      </c>
      <c r="F200" s="1" t="s">
        <v>96</v>
      </c>
      <c r="G200" s="1" t="s">
        <v>144</v>
      </c>
    </row>
    <row r="201" spans="1:8" x14ac:dyDescent="0.3">
      <c r="A201" s="1">
        <v>200</v>
      </c>
      <c r="B201" s="2">
        <v>0.60416666666666663</v>
      </c>
      <c r="C201" s="2"/>
      <c r="D201" s="1" t="s">
        <v>141</v>
      </c>
      <c r="F201" s="1" t="s">
        <v>96</v>
      </c>
      <c r="G201" s="1" t="s">
        <v>144</v>
      </c>
    </row>
    <row r="202" spans="1:8" x14ac:dyDescent="0.3">
      <c r="A202" s="1">
        <v>201</v>
      </c>
      <c r="B202" s="2">
        <v>0.56597222222222221</v>
      </c>
      <c r="C202" s="2"/>
      <c r="D202" s="1" t="s">
        <v>141</v>
      </c>
      <c r="F202" s="1" t="s">
        <v>96</v>
      </c>
      <c r="G202" s="1" t="s">
        <v>144</v>
      </c>
    </row>
    <row r="203" spans="1:8" x14ac:dyDescent="0.3">
      <c r="A203" s="1">
        <v>202</v>
      </c>
      <c r="B203" s="2">
        <v>0.56597222222222221</v>
      </c>
      <c r="C203" s="2"/>
      <c r="D203" s="1" t="s">
        <v>139</v>
      </c>
      <c r="F203" s="1" t="s">
        <v>96</v>
      </c>
      <c r="G203" s="1" t="s">
        <v>144</v>
      </c>
    </row>
    <row r="204" spans="1:8" x14ac:dyDescent="0.3">
      <c r="A204" s="1">
        <v>203</v>
      </c>
      <c r="B204" s="2">
        <v>0.54166666666666663</v>
      </c>
      <c r="C204" s="2"/>
      <c r="D204" s="1" t="s">
        <v>139</v>
      </c>
      <c r="F204" s="1" t="s">
        <v>96</v>
      </c>
      <c r="G204" s="1" t="s">
        <v>116</v>
      </c>
      <c r="H204" s="1" t="s">
        <v>144</v>
      </c>
    </row>
    <row r="205" spans="1:8" x14ac:dyDescent="0.3">
      <c r="A205" s="1">
        <v>204</v>
      </c>
      <c r="B205" s="2">
        <v>0.47916666666666669</v>
      </c>
      <c r="C205" s="2"/>
      <c r="D205" s="1" t="s">
        <v>139</v>
      </c>
      <c r="F205" s="1" t="s">
        <v>96</v>
      </c>
      <c r="G205" s="1" t="s">
        <v>116</v>
      </c>
    </row>
    <row r="206" spans="1:8" x14ac:dyDescent="0.3">
      <c r="A206" s="1">
        <v>205</v>
      </c>
      <c r="B206" s="2">
        <v>0.47916666666666669</v>
      </c>
      <c r="C206" s="2"/>
      <c r="D206" s="1" t="s">
        <v>141</v>
      </c>
      <c r="F206" s="1" t="s">
        <v>96</v>
      </c>
      <c r="G206" s="1" t="s">
        <v>116</v>
      </c>
    </row>
    <row r="207" spans="1:8" x14ac:dyDescent="0.3">
      <c r="A207" s="1">
        <v>206</v>
      </c>
      <c r="B207" s="2">
        <v>0.44444444444444442</v>
      </c>
      <c r="C207" s="2"/>
      <c r="D207" s="1" t="s">
        <v>141</v>
      </c>
      <c r="F207" s="1" t="s">
        <v>96</v>
      </c>
      <c r="G207" s="1" t="s">
        <v>116</v>
      </c>
    </row>
    <row r="208" spans="1:8" x14ac:dyDescent="0.3">
      <c r="A208" s="1">
        <v>207</v>
      </c>
      <c r="B208" s="2">
        <v>0.44444444444444442</v>
      </c>
      <c r="C208" s="2"/>
      <c r="D208" s="1" t="s">
        <v>145</v>
      </c>
      <c r="F208" s="1" t="s">
        <v>96</v>
      </c>
      <c r="G208" s="1" t="s">
        <v>116</v>
      </c>
    </row>
    <row r="209" spans="1:8" x14ac:dyDescent="0.3">
      <c r="A209" s="1">
        <v>208</v>
      </c>
      <c r="B209" s="2">
        <v>0.38194444444444442</v>
      </c>
      <c r="C209" s="2"/>
      <c r="D209" s="1" t="s">
        <v>145</v>
      </c>
      <c r="F209" s="1" t="s">
        <v>96</v>
      </c>
      <c r="G209" s="1" t="s">
        <v>116</v>
      </c>
    </row>
    <row r="210" spans="1:8" x14ac:dyDescent="0.3">
      <c r="A210" s="1">
        <v>209</v>
      </c>
      <c r="B210" s="2">
        <v>0.38194444444444442</v>
      </c>
      <c r="C210" s="2"/>
      <c r="D210" s="1" t="s">
        <v>146</v>
      </c>
      <c r="F210" s="1" t="s">
        <v>96</v>
      </c>
      <c r="G210" s="1" t="s">
        <v>116</v>
      </c>
      <c r="H210" s="1" t="s">
        <v>114</v>
      </c>
    </row>
    <row r="211" spans="1:8" x14ac:dyDescent="0.3">
      <c r="A211" s="1">
        <v>210</v>
      </c>
      <c r="B211" s="2">
        <v>0.33194444444444443</v>
      </c>
      <c r="C211" s="2"/>
      <c r="D211" s="1" t="s">
        <v>146</v>
      </c>
      <c r="F211" s="1" t="s">
        <v>96</v>
      </c>
      <c r="G211" s="1" t="s">
        <v>114</v>
      </c>
    </row>
    <row r="212" spans="1:8" x14ac:dyDescent="0.3">
      <c r="A212" s="1">
        <v>211</v>
      </c>
      <c r="B212" s="2">
        <v>0.33194444444444443</v>
      </c>
      <c r="C212" s="2"/>
      <c r="D212" s="1" t="s">
        <v>147</v>
      </c>
      <c r="F212" s="1" t="s">
        <v>96</v>
      </c>
      <c r="G212" s="1" t="s">
        <v>98</v>
      </c>
      <c r="H212" s="1" t="s">
        <v>114</v>
      </c>
    </row>
    <row r="213" spans="1:8" x14ac:dyDescent="0.3">
      <c r="A213" s="1">
        <v>212</v>
      </c>
      <c r="B213" s="2">
        <v>0.29166666666666669</v>
      </c>
      <c r="C213" s="2"/>
      <c r="D213" s="1" t="s">
        <v>147</v>
      </c>
      <c r="F213" s="1" t="s">
        <v>96</v>
      </c>
      <c r="G213" s="1" t="s">
        <v>98</v>
      </c>
    </row>
    <row r="214" spans="1:8" x14ac:dyDescent="0.3">
      <c r="A214" s="1">
        <v>213</v>
      </c>
      <c r="B214" s="2">
        <v>0.29166666666666669</v>
      </c>
      <c r="C214" s="2"/>
      <c r="D214" s="1" t="s">
        <v>148</v>
      </c>
      <c r="F214" s="1" t="s">
        <v>96</v>
      </c>
      <c r="G214" s="1" t="s">
        <v>98</v>
      </c>
    </row>
    <row r="215" spans="1:8" x14ac:dyDescent="0.3">
      <c r="A215" s="1">
        <v>214</v>
      </c>
      <c r="B215" s="2">
        <v>0.25416666666666665</v>
      </c>
      <c r="C215" s="2"/>
      <c r="D215" s="1" t="s">
        <v>148</v>
      </c>
      <c r="F215" s="1" t="s">
        <v>96</v>
      </c>
      <c r="G215" s="1" t="s">
        <v>98</v>
      </c>
    </row>
    <row r="216" spans="1:8" x14ac:dyDescent="0.3">
      <c r="A216" s="1">
        <v>253</v>
      </c>
      <c r="B216" s="2">
        <v>0.83333333333333337</v>
      </c>
      <c r="C216" s="2"/>
      <c r="D216" s="1" t="s">
        <v>169</v>
      </c>
      <c r="F216" s="1" t="s">
        <v>61</v>
      </c>
      <c r="G216" s="1" t="s">
        <v>75</v>
      </c>
    </row>
    <row r="217" spans="1:8" x14ac:dyDescent="0.3">
      <c r="A217" s="1">
        <v>254</v>
      </c>
      <c r="B217" s="2">
        <v>0.84722222222222221</v>
      </c>
      <c r="C217" s="2"/>
      <c r="D217" s="1" t="s">
        <v>169</v>
      </c>
      <c r="F217" s="1" t="s">
        <v>61</v>
      </c>
      <c r="G217" s="1" t="s">
        <v>170</v>
      </c>
      <c r="H217" s="1" t="s">
        <v>75</v>
      </c>
    </row>
    <row r="218" spans="1:8" x14ac:dyDescent="0.3">
      <c r="A218" s="1">
        <v>255</v>
      </c>
      <c r="B218" s="2">
        <v>0.88888888888888884</v>
      </c>
      <c r="C218" s="2"/>
      <c r="D218" s="1" t="s">
        <v>169</v>
      </c>
      <c r="F218" s="1" t="s">
        <v>61</v>
      </c>
      <c r="G218" s="1" t="s">
        <v>170</v>
      </c>
      <c r="H218" s="1" t="s">
        <v>60</v>
      </c>
    </row>
    <row r="219" spans="1:8" x14ac:dyDescent="0.3">
      <c r="A219" s="1">
        <v>256</v>
      </c>
      <c r="B219" s="2">
        <v>0.88888888888888884</v>
      </c>
      <c r="C219" s="2"/>
      <c r="D219" s="1" t="s">
        <v>58</v>
      </c>
      <c r="F219" s="1" t="s">
        <v>61</v>
      </c>
      <c r="G219" s="1" t="s">
        <v>60</v>
      </c>
    </row>
    <row r="220" spans="1:8" x14ac:dyDescent="0.3">
      <c r="A220" s="1">
        <v>257</v>
      </c>
      <c r="B220" s="2">
        <v>0.46875</v>
      </c>
      <c r="C220" s="2"/>
      <c r="D220" s="1" t="s">
        <v>171</v>
      </c>
      <c r="F220" s="1" t="s">
        <v>172</v>
      </c>
      <c r="G220" s="1" t="s">
        <v>30</v>
      </c>
    </row>
    <row r="221" spans="1:8" x14ac:dyDescent="0.3">
      <c r="A221" s="1">
        <v>258</v>
      </c>
      <c r="B221" s="2">
        <v>0.45833333333333331</v>
      </c>
      <c r="C221" s="2"/>
      <c r="D221" s="1" t="s">
        <v>171</v>
      </c>
      <c r="F221" s="1" t="s">
        <v>172</v>
      </c>
      <c r="G221" s="1" t="s">
        <v>30</v>
      </c>
      <c r="H221" s="1" t="s">
        <v>28</v>
      </c>
    </row>
    <row r="222" spans="1:8" x14ac:dyDescent="0.3">
      <c r="A222" s="1">
        <v>259</v>
      </c>
      <c r="B222" s="2">
        <v>0.36805555555555558</v>
      </c>
      <c r="C222" s="2"/>
      <c r="D222" s="1" t="s">
        <v>171</v>
      </c>
      <c r="F222" s="1" t="s">
        <v>172</v>
      </c>
      <c r="G222" s="1" t="s">
        <v>28</v>
      </c>
    </row>
    <row r="223" spans="1:8" x14ac:dyDescent="0.3">
      <c r="A223" s="1">
        <v>260</v>
      </c>
      <c r="B223" s="2">
        <v>0.36805555555555558</v>
      </c>
      <c r="C223" s="2"/>
      <c r="D223" s="1" t="s">
        <v>173</v>
      </c>
      <c r="F223" s="1" t="s">
        <v>172</v>
      </c>
      <c r="G223" s="1" t="s">
        <v>28</v>
      </c>
    </row>
    <row r="224" spans="1:8" x14ac:dyDescent="0.3">
      <c r="A224" s="1">
        <v>261</v>
      </c>
      <c r="B224" s="2">
        <v>0.35208333333333336</v>
      </c>
      <c r="C224" s="2"/>
      <c r="D224" s="1" t="s">
        <v>173</v>
      </c>
      <c r="F224" s="1" t="s">
        <v>172</v>
      </c>
      <c r="G224" s="1" t="s">
        <v>28</v>
      </c>
    </row>
    <row r="225" spans="1:9" x14ac:dyDescent="0.3">
      <c r="A225" s="1">
        <v>262</v>
      </c>
      <c r="B225" s="2">
        <v>0.35208333333333336</v>
      </c>
      <c r="C225" s="2"/>
      <c r="D225" s="1" t="s">
        <v>174</v>
      </c>
      <c r="F225" s="1" t="s">
        <v>172</v>
      </c>
      <c r="G225" s="1" t="s">
        <v>28</v>
      </c>
    </row>
    <row r="226" spans="1:9" x14ac:dyDescent="0.3">
      <c r="A226" s="1">
        <v>263</v>
      </c>
      <c r="B226" s="2">
        <v>0.34027777777777779</v>
      </c>
      <c r="C226" s="2"/>
      <c r="D226" s="1" t="s">
        <v>174</v>
      </c>
      <c r="F226" s="1" t="s">
        <v>172</v>
      </c>
      <c r="G226" s="1" t="s">
        <v>28</v>
      </c>
    </row>
    <row r="227" spans="1:9" x14ac:dyDescent="0.3">
      <c r="A227" s="1">
        <v>264</v>
      </c>
      <c r="B227" s="2">
        <v>0.34027777777777779</v>
      </c>
      <c r="C227" s="2"/>
      <c r="D227" s="1" t="s">
        <v>175</v>
      </c>
      <c r="F227" s="1" t="s">
        <v>172</v>
      </c>
      <c r="G227" s="1" t="s">
        <v>28</v>
      </c>
      <c r="I227" t="s">
        <v>98</v>
      </c>
    </row>
    <row r="228" spans="1:9" x14ac:dyDescent="0.3">
      <c r="A228" s="1">
        <v>265</v>
      </c>
      <c r="B228" s="2">
        <v>0.33333333333333331</v>
      </c>
      <c r="C228" s="2"/>
      <c r="D228" s="1" t="s">
        <v>175</v>
      </c>
      <c r="F228" s="1" t="s">
        <v>172</v>
      </c>
      <c r="G228" s="1" t="s">
        <v>164</v>
      </c>
      <c r="H228" s="1" t="s">
        <v>28</v>
      </c>
    </row>
    <row r="229" spans="1:9" x14ac:dyDescent="0.3">
      <c r="A229" s="1">
        <v>266</v>
      </c>
      <c r="B229" s="2">
        <v>0.25</v>
      </c>
      <c r="C229" s="2"/>
      <c r="D229" s="1" t="s">
        <v>175</v>
      </c>
      <c r="F229" s="1" t="s">
        <v>172</v>
      </c>
      <c r="G229" s="1" t="s">
        <v>128</v>
      </c>
      <c r="H229" s="1" t="s">
        <v>164</v>
      </c>
    </row>
    <row r="230" spans="1:9" x14ac:dyDescent="0.3">
      <c r="A230" s="1">
        <v>267</v>
      </c>
      <c r="B230" s="2">
        <v>0.25</v>
      </c>
      <c r="C230" s="2"/>
      <c r="D230" s="1" t="s">
        <v>176</v>
      </c>
      <c r="F230" s="1" t="s">
        <v>172</v>
      </c>
      <c r="G230" s="1" t="s">
        <v>128</v>
      </c>
    </row>
    <row r="231" spans="1:9" x14ac:dyDescent="0.3">
      <c r="A231" s="1">
        <v>268</v>
      </c>
      <c r="B231" s="2">
        <v>0.25694444444444442</v>
      </c>
      <c r="C231" s="2"/>
      <c r="D231" s="1" t="s">
        <v>176</v>
      </c>
      <c r="F231" s="1" t="s">
        <v>172</v>
      </c>
      <c r="G231" s="1" t="s">
        <v>128</v>
      </c>
    </row>
    <row r="232" spans="1:9" x14ac:dyDescent="0.3">
      <c r="A232" s="1">
        <v>269</v>
      </c>
      <c r="B232" s="2">
        <v>0.25694444444444442</v>
      </c>
      <c r="C232" s="2"/>
      <c r="D232" s="1" t="s">
        <v>177</v>
      </c>
      <c r="F232" s="1" t="s">
        <v>172</v>
      </c>
      <c r="G232" s="1" t="s">
        <v>128</v>
      </c>
    </row>
    <row r="233" spans="1:9" x14ac:dyDescent="0.3">
      <c r="A233" s="1">
        <v>270</v>
      </c>
      <c r="B233" s="2">
        <v>0.27083333333333331</v>
      </c>
      <c r="C233" s="2"/>
      <c r="D233" s="1" t="s">
        <v>177</v>
      </c>
      <c r="F233" s="1" t="s">
        <v>172</v>
      </c>
      <c r="G233" s="1" t="s">
        <v>128</v>
      </c>
    </row>
    <row r="234" spans="1:9" x14ac:dyDescent="0.3">
      <c r="A234" s="1">
        <v>271</v>
      </c>
      <c r="B234" s="2">
        <v>0.27083333333333331</v>
      </c>
      <c r="C234" s="2"/>
      <c r="D234" s="1" t="s">
        <v>178</v>
      </c>
      <c r="F234" s="1" t="s">
        <v>172</v>
      </c>
      <c r="G234" s="1" t="s">
        <v>128</v>
      </c>
    </row>
    <row r="235" spans="1:9" x14ac:dyDescent="0.3">
      <c r="A235" s="1">
        <v>272</v>
      </c>
      <c r="B235" s="2">
        <v>0.28472222222222221</v>
      </c>
      <c r="C235" s="2"/>
      <c r="D235" s="1" t="s">
        <v>178</v>
      </c>
      <c r="F235" s="1" t="s">
        <v>172</v>
      </c>
      <c r="G235" s="1" t="s">
        <v>128</v>
      </c>
    </row>
    <row r="236" spans="1:9" x14ac:dyDescent="0.3">
      <c r="A236" s="1">
        <v>273</v>
      </c>
      <c r="B236" s="2">
        <v>0.28472222222222221</v>
      </c>
      <c r="C236" s="2"/>
      <c r="D236" s="1" t="s">
        <v>179</v>
      </c>
      <c r="F236" s="1" t="s">
        <v>172</v>
      </c>
      <c r="G236" s="1" t="s">
        <v>128</v>
      </c>
      <c r="H236" s="1" t="s">
        <v>180</v>
      </c>
    </row>
    <row r="237" spans="1:9" x14ac:dyDescent="0.3">
      <c r="A237" s="1">
        <v>274</v>
      </c>
      <c r="B237" s="2">
        <v>0.37638888888888888</v>
      </c>
      <c r="C237" s="2"/>
      <c r="D237" s="1" t="s">
        <v>179</v>
      </c>
      <c r="F237" s="1" t="s">
        <v>172</v>
      </c>
      <c r="G237" s="1" t="s">
        <v>180</v>
      </c>
    </row>
    <row r="238" spans="1:9" x14ac:dyDescent="0.3">
      <c r="A238" s="1">
        <v>275</v>
      </c>
      <c r="B238" s="2">
        <v>0.37638888888888888</v>
      </c>
      <c r="C238" s="2"/>
      <c r="D238" s="1" t="s">
        <v>39</v>
      </c>
      <c r="F238" s="1" t="s">
        <v>172</v>
      </c>
      <c r="G238" s="1" t="s">
        <v>37</v>
      </c>
      <c r="H238" s="1" t="s">
        <v>180</v>
      </c>
    </row>
    <row r="239" spans="1:9" x14ac:dyDescent="0.3">
      <c r="A239" s="1">
        <v>276</v>
      </c>
      <c r="B239" s="2">
        <v>0.46875</v>
      </c>
      <c r="C239" s="2"/>
      <c r="D239" s="1" t="s">
        <v>39</v>
      </c>
      <c r="F239" s="1" t="s">
        <v>172</v>
      </c>
      <c r="G239" s="1" t="s">
        <v>37</v>
      </c>
      <c r="H239" s="1" t="s">
        <v>46</v>
      </c>
    </row>
    <row r="240" spans="1:9" x14ac:dyDescent="0.3">
      <c r="A240" s="1">
        <v>277</v>
      </c>
      <c r="B240" s="2">
        <v>0.46875</v>
      </c>
      <c r="C240" s="2"/>
      <c r="D240" s="1" t="s">
        <v>179</v>
      </c>
      <c r="F240" s="1" t="s">
        <v>172</v>
      </c>
      <c r="G240" s="1" t="s">
        <v>30</v>
      </c>
      <c r="H240" s="1" t="s">
        <v>46</v>
      </c>
    </row>
    <row r="241" spans="1:8" x14ac:dyDescent="0.3">
      <c r="A241" s="1">
        <v>278</v>
      </c>
      <c r="B241" s="2">
        <v>0.95277777777777772</v>
      </c>
      <c r="C241" s="2"/>
      <c r="D241" s="1" t="s">
        <v>181</v>
      </c>
      <c r="F241" s="1" t="s">
        <v>5</v>
      </c>
      <c r="G241" s="1" t="s">
        <v>140</v>
      </c>
      <c r="H241" s="1" t="s">
        <v>2</v>
      </c>
    </row>
    <row r="242" spans="1:8" x14ac:dyDescent="0.3">
      <c r="A242" s="1">
        <v>279</v>
      </c>
      <c r="B242" s="2">
        <v>0.95277777777777772</v>
      </c>
      <c r="C242" s="2"/>
      <c r="D242" s="1" t="s">
        <v>182</v>
      </c>
      <c r="F242" s="1" t="s">
        <v>5</v>
      </c>
      <c r="G242" s="1" t="s">
        <v>140</v>
      </c>
    </row>
    <row r="243" spans="1:8" x14ac:dyDescent="0.3">
      <c r="A243" s="1">
        <v>280</v>
      </c>
      <c r="B243" s="2">
        <v>0.96527777777777779</v>
      </c>
      <c r="C243" s="2"/>
      <c r="D243" s="1" t="s">
        <v>182</v>
      </c>
      <c r="F243" s="1" t="s">
        <v>5</v>
      </c>
      <c r="G243" s="1" t="s">
        <v>140</v>
      </c>
    </row>
    <row r="244" spans="1:8" x14ac:dyDescent="0.3">
      <c r="A244" s="1">
        <v>281</v>
      </c>
      <c r="B244" s="2">
        <v>0.96527777777777779</v>
      </c>
      <c r="C244" s="2"/>
      <c r="D244" s="1" t="s">
        <v>183</v>
      </c>
      <c r="F244" s="1" t="s">
        <v>5</v>
      </c>
      <c r="G244" s="1" t="s">
        <v>140</v>
      </c>
    </row>
    <row r="245" spans="1:8" x14ac:dyDescent="0.3">
      <c r="A245" s="1">
        <v>282</v>
      </c>
      <c r="B245" s="2">
        <v>0.98263888888888884</v>
      </c>
      <c r="C245" s="2"/>
      <c r="D245" s="1" t="s">
        <v>183</v>
      </c>
      <c r="F245" s="1" t="s">
        <v>5</v>
      </c>
      <c r="G245" s="1" t="s">
        <v>140</v>
      </c>
    </row>
    <row r="246" spans="1:8" x14ac:dyDescent="0.3">
      <c r="A246" s="1">
        <v>283</v>
      </c>
      <c r="B246" s="2">
        <v>0.98263888888888884</v>
      </c>
      <c r="C246" s="2"/>
      <c r="D246" s="1" t="s">
        <v>184</v>
      </c>
      <c r="F246" s="1" t="s">
        <v>5</v>
      </c>
      <c r="G246" s="1" t="s">
        <v>140</v>
      </c>
    </row>
    <row r="247" spans="1:8" x14ac:dyDescent="0.3">
      <c r="A247" s="1">
        <v>284</v>
      </c>
      <c r="B247" s="2">
        <v>1.3888888888888888E-2</v>
      </c>
      <c r="C247" s="2"/>
      <c r="D247" s="1" t="s">
        <v>184</v>
      </c>
      <c r="F247" s="1" t="s">
        <v>5</v>
      </c>
      <c r="G247" s="1" t="s">
        <v>140</v>
      </c>
    </row>
    <row r="248" spans="1:8" x14ac:dyDescent="0.3">
      <c r="A248" s="1">
        <v>285</v>
      </c>
      <c r="B248" s="2">
        <v>1.3888888888888888E-2</v>
      </c>
      <c r="C248" s="2"/>
      <c r="D248" s="1" t="s">
        <v>139</v>
      </c>
      <c r="F248" s="1" t="s">
        <v>5</v>
      </c>
      <c r="G248" s="1" t="s">
        <v>140</v>
      </c>
    </row>
    <row r="249" spans="1:8" x14ac:dyDescent="0.3">
      <c r="A249" s="1">
        <v>286</v>
      </c>
      <c r="B249" s="2">
        <v>0.10138888888888889</v>
      </c>
      <c r="C249" s="2"/>
      <c r="D249" s="1" t="s">
        <v>137</v>
      </c>
      <c r="F249" s="1" t="s">
        <v>5</v>
      </c>
      <c r="G249" s="1" t="s">
        <v>9</v>
      </c>
    </row>
    <row r="250" spans="1:8" x14ac:dyDescent="0.3">
      <c r="A250" s="1">
        <v>287</v>
      </c>
      <c r="B250" s="2">
        <v>0.10138888888888889</v>
      </c>
      <c r="C250" s="2"/>
      <c r="D250" s="1" t="s">
        <v>185</v>
      </c>
      <c r="F250" s="1" t="s">
        <v>5</v>
      </c>
      <c r="G250" s="1" t="s">
        <v>9</v>
      </c>
    </row>
    <row r="251" spans="1:8" x14ac:dyDescent="0.3">
      <c r="A251" s="1">
        <v>288</v>
      </c>
      <c r="B251" s="2">
        <v>7.9513888888888884E-2</v>
      </c>
      <c r="C251" s="2"/>
      <c r="D251" s="1" t="s">
        <v>185</v>
      </c>
      <c r="F251" s="1" t="s">
        <v>5</v>
      </c>
      <c r="G251" s="1" t="s">
        <v>9</v>
      </c>
    </row>
    <row r="252" spans="1:8" x14ac:dyDescent="0.3">
      <c r="A252" s="1">
        <v>289</v>
      </c>
      <c r="B252" s="2">
        <v>7.9513888888888884E-2</v>
      </c>
      <c r="C252" s="2"/>
      <c r="D252" s="1" t="s">
        <v>186</v>
      </c>
      <c r="F252" s="1" t="s">
        <v>5</v>
      </c>
      <c r="G252" s="1" t="s">
        <v>9</v>
      </c>
    </row>
    <row r="253" spans="1:8" x14ac:dyDescent="0.3">
      <c r="A253" s="1">
        <v>290</v>
      </c>
      <c r="B253" s="2">
        <v>7.0833333333333331E-2</v>
      </c>
      <c r="C253" s="2"/>
      <c r="D253" s="1" t="s">
        <v>186</v>
      </c>
      <c r="F253" s="1" t="s">
        <v>5</v>
      </c>
      <c r="G253" s="1" t="s">
        <v>9</v>
      </c>
    </row>
    <row r="254" spans="1:8" x14ac:dyDescent="0.3">
      <c r="A254" s="1">
        <v>291</v>
      </c>
      <c r="B254" s="2">
        <v>7.0833333333333331E-2</v>
      </c>
      <c r="C254" s="2"/>
      <c r="D254" s="1" t="s">
        <v>99</v>
      </c>
      <c r="F254" s="1" t="s">
        <v>5</v>
      </c>
      <c r="G254" s="1" t="s">
        <v>9</v>
      </c>
    </row>
    <row r="255" spans="1:8" x14ac:dyDescent="0.3">
      <c r="A255" s="1">
        <v>292</v>
      </c>
      <c r="B255" s="2">
        <v>5.6944444444444443E-2</v>
      </c>
      <c r="C255" s="2"/>
      <c r="D255" s="1" t="s">
        <v>99</v>
      </c>
      <c r="F255" s="1" t="s">
        <v>5</v>
      </c>
      <c r="G255" s="1" t="s">
        <v>9</v>
      </c>
    </row>
    <row r="256" spans="1:8" x14ac:dyDescent="0.3">
      <c r="A256" s="1">
        <v>293</v>
      </c>
      <c r="B256" s="2">
        <v>0.49305555555555558</v>
      </c>
      <c r="C256" s="2"/>
      <c r="D256" s="1" t="s">
        <v>179</v>
      </c>
      <c r="F256" s="1" t="s">
        <v>30</v>
      </c>
      <c r="G256" s="1" t="s">
        <v>187</v>
      </c>
      <c r="H256" s="1" t="s">
        <v>46</v>
      </c>
    </row>
    <row r="257" spans="1:8" x14ac:dyDescent="0.3">
      <c r="A257" s="1">
        <v>294</v>
      </c>
      <c r="B257" s="2">
        <v>0.49305555555555558</v>
      </c>
      <c r="C257" s="2"/>
      <c r="D257" s="1" t="s">
        <v>177</v>
      </c>
      <c r="F257" s="1" t="s">
        <v>30</v>
      </c>
      <c r="G257" s="1" t="s">
        <v>187</v>
      </c>
    </row>
    <row r="258" spans="1:8" x14ac:dyDescent="0.3">
      <c r="A258" s="1">
        <v>295</v>
      </c>
      <c r="B258" s="2">
        <v>0.53472222222222221</v>
      </c>
      <c r="C258" s="2"/>
      <c r="D258" s="1" t="s">
        <v>177</v>
      </c>
      <c r="F258" s="1" t="s">
        <v>30</v>
      </c>
      <c r="G258" s="1" t="s">
        <v>187</v>
      </c>
    </row>
    <row r="259" spans="1:8" x14ac:dyDescent="0.3">
      <c r="A259" s="1">
        <v>296</v>
      </c>
      <c r="B259" s="2">
        <v>0.53472222222222221</v>
      </c>
      <c r="C259" s="2"/>
      <c r="D259" s="1" t="s">
        <v>179</v>
      </c>
      <c r="F259" s="1" t="s">
        <v>30</v>
      </c>
      <c r="G259" s="1" t="s">
        <v>187</v>
      </c>
      <c r="H259" s="1" t="s">
        <v>46</v>
      </c>
    </row>
    <row r="260" spans="1:8" x14ac:dyDescent="0.3">
      <c r="A260" s="1">
        <v>297</v>
      </c>
      <c r="B260" s="2">
        <v>0.5625</v>
      </c>
      <c r="C260" s="2"/>
      <c r="D260" s="1" t="s">
        <v>179</v>
      </c>
      <c r="F260" s="1" t="s">
        <v>30</v>
      </c>
      <c r="G260" s="1" t="s">
        <v>45</v>
      </c>
      <c r="H260" s="1" t="s">
        <v>46</v>
      </c>
    </row>
    <row r="261" spans="1:8" x14ac:dyDescent="0.3">
      <c r="A261" s="1">
        <v>298</v>
      </c>
      <c r="B261" s="2">
        <v>0.60555555555555551</v>
      </c>
      <c r="C261" s="2"/>
      <c r="D261" s="1" t="s">
        <v>179</v>
      </c>
      <c r="F261" s="1" t="s">
        <v>30</v>
      </c>
      <c r="G261" s="1" t="s">
        <v>45</v>
      </c>
    </row>
    <row r="262" spans="1:8" x14ac:dyDescent="0.3">
      <c r="A262" s="1">
        <v>299</v>
      </c>
      <c r="B262" s="2">
        <v>0.60555555555555551</v>
      </c>
      <c r="C262" s="2"/>
      <c r="D262" s="1" t="s">
        <v>177</v>
      </c>
      <c r="F262" s="1" t="s">
        <v>30</v>
      </c>
      <c r="G262" s="1" t="s">
        <v>45</v>
      </c>
      <c r="H262" s="1" t="s">
        <v>188</v>
      </c>
    </row>
    <row r="263" spans="1:8" x14ac:dyDescent="0.3">
      <c r="A263" s="1">
        <v>300</v>
      </c>
      <c r="B263" s="2">
        <v>0.59027777777777779</v>
      </c>
      <c r="C263" s="2"/>
      <c r="D263" s="1" t="s">
        <v>177</v>
      </c>
      <c r="F263" s="1" t="s">
        <v>30</v>
      </c>
      <c r="G263" s="1" t="s">
        <v>188</v>
      </c>
    </row>
    <row r="264" spans="1:8" x14ac:dyDescent="0.3">
      <c r="A264" s="1">
        <v>301</v>
      </c>
      <c r="B264" s="2">
        <v>0.59027777777777779</v>
      </c>
      <c r="C264" s="2"/>
      <c r="D264" s="1" t="s">
        <v>189</v>
      </c>
      <c r="F264" s="1" t="s">
        <v>30</v>
      </c>
      <c r="G264" s="1" t="s">
        <v>188</v>
      </c>
    </row>
    <row r="265" spans="1:8" x14ac:dyDescent="0.3">
      <c r="A265" s="1">
        <v>302</v>
      </c>
      <c r="B265" s="2">
        <v>0.62152777777777779</v>
      </c>
      <c r="C265" s="2"/>
      <c r="D265" s="1" t="s">
        <v>189</v>
      </c>
      <c r="F265" s="1" t="s">
        <v>30</v>
      </c>
      <c r="G265" s="1" t="s">
        <v>188</v>
      </c>
    </row>
    <row r="266" spans="1:8" x14ac:dyDescent="0.3">
      <c r="A266" s="1">
        <v>303</v>
      </c>
      <c r="B266" s="2">
        <v>0.62152777777777779</v>
      </c>
      <c r="C266" s="2"/>
      <c r="D266" s="1" t="s">
        <v>190</v>
      </c>
      <c r="F266" s="1" t="s">
        <v>30</v>
      </c>
      <c r="G266" s="1" t="s">
        <v>25</v>
      </c>
      <c r="H266" s="1" t="s">
        <v>191</v>
      </c>
    </row>
    <row r="267" spans="1:8" x14ac:dyDescent="0.3">
      <c r="A267" s="1">
        <v>304</v>
      </c>
      <c r="B267" s="2">
        <v>0.52430555555555558</v>
      </c>
      <c r="C267" s="2"/>
      <c r="D267" s="1" t="s">
        <v>190</v>
      </c>
      <c r="F267" s="1" t="s">
        <v>30</v>
      </c>
      <c r="G267" s="1" t="s">
        <v>25</v>
      </c>
    </row>
    <row r="268" spans="1:8" x14ac:dyDescent="0.3">
      <c r="A268" s="1">
        <v>305</v>
      </c>
      <c r="B268" s="2">
        <v>0.52430555555555558</v>
      </c>
      <c r="C268" s="2"/>
      <c r="D268" s="1" t="s">
        <v>165</v>
      </c>
      <c r="F268" s="1" t="s">
        <v>30</v>
      </c>
      <c r="G268" s="1" t="s">
        <v>25</v>
      </c>
    </row>
    <row r="269" spans="1:8" x14ac:dyDescent="0.3">
      <c r="A269" s="1">
        <v>306</v>
      </c>
      <c r="B269" s="2">
        <v>0.51041666666666663</v>
      </c>
      <c r="C269" s="2"/>
      <c r="D269" s="1" t="s">
        <v>165</v>
      </c>
      <c r="F269" s="1" t="s">
        <v>30</v>
      </c>
      <c r="G269" s="1" t="s">
        <v>25</v>
      </c>
    </row>
    <row r="270" spans="1:8" x14ac:dyDescent="0.3">
      <c r="A270" s="1">
        <v>307</v>
      </c>
      <c r="B270" s="2">
        <v>0.51041666666666663</v>
      </c>
      <c r="C270" s="2"/>
      <c r="D270" s="1" t="s">
        <v>31</v>
      </c>
      <c r="F270" s="1" t="s">
        <v>30</v>
      </c>
      <c r="G270" s="1" t="s">
        <v>25</v>
      </c>
    </row>
    <row r="271" spans="1:8" x14ac:dyDescent="0.3">
      <c r="A271" s="1">
        <v>308</v>
      </c>
      <c r="B271" s="2">
        <v>0.83333333333333337</v>
      </c>
      <c r="C271" s="2"/>
      <c r="D271" s="1" t="s">
        <v>192</v>
      </c>
      <c r="F271" s="1" t="s">
        <v>140</v>
      </c>
      <c r="G271" s="1" t="s">
        <v>193</v>
      </c>
      <c r="H271" s="1" t="s">
        <v>116</v>
      </c>
    </row>
    <row r="272" spans="1:8" x14ac:dyDescent="0.3">
      <c r="A272" s="1">
        <v>309</v>
      </c>
      <c r="B272" s="2">
        <v>0.83333333333333337</v>
      </c>
      <c r="C272" s="2"/>
      <c r="D272" s="1" t="s">
        <v>194</v>
      </c>
      <c r="F272" s="1" t="s">
        <v>140</v>
      </c>
      <c r="G272" s="1" t="s">
        <v>116</v>
      </c>
    </row>
    <row r="273" spans="1:8" x14ac:dyDescent="0.3">
      <c r="A273" s="1">
        <v>310</v>
      </c>
      <c r="B273" s="2">
        <v>0.85069444444444442</v>
      </c>
      <c r="C273" s="2"/>
      <c r="D273" s="1" t="s">
        <v>194</v>
      </c>
      <c r="F273" s="1" t="s">
        <v>140</v>
      </c>
      <c r="G273" s="1" t="s">
        <v>116</v>
      </c>
    </row>
    <row r="274" spans="1:8" x14ac:dyDescent="0.3">
      <c r="A274" s="1">
        <v>311</v>
      </c>
      <c r="B274" s="2">
        <v>0.85069444444444442</v>
      </c>
      <c r="C274" s="2"/>
      <c r="D274" s="1" t="s">
        <v>195</v>
      </c>
      <c r="F274" s="1" t="s">
        <v>140</v>
      </c>
      <c r="G274" s="1" t="s">
        <v>116</v>
      </c>
    </row>
    <row r="275" spans="1:8" x14ac:dyDescent="0.3">
      <c r="A275" s="1">
        <v>312</v>
      </c>
      <c r="B275" s="2">
        <v>0.86111111111111116</v>
      </c>
      <c r="C275" s="2"/>
      <c r="D275" s="1" t="s">
        <v>195</v>
      </c>
      <c r="F275" s="1" t="s">
        <v>140</v>
      </c>
      <c r="G275" s="1" t="s">
        <v>116</v>
      </c>
    </row>
    <row r="276" spans="1:8" x14ac:dyDescent="0.3">
      <c r="A276" s="1">
        <v>313</v>
      </c>
      <c r="B276" s="2">
        <v>0.86111111111111116</v>
      </c>
      <c r="C276" s="2"/>
      <c r="D276" s="1" t="s">
        <v>196</v>
      </c>
      <c r="F276" s="1" t="s">
        <v>140</v>
      </c>
      <c r="G276" s="1" t="s">
        <v>116</v>
      </c>
    </row>
    <row r="277" spans="1:8" x14ac:dyDescent="0.3">
      <c r="A277" s="1">
        <v>314</v>
      </c>
      <c r="B277" s="2">
        <v>0.84027777777777779</v>
      </c>
      <c r="C277" s="2"/>
      <c r="D277" s="1" t="s">
        <v>196</v>
      </c>
      <c r="F277" s="1" t="s">
        <v>140</v>
      </c>
      <c r="G277" s="1" t="s">
        <v>116</v>
      </c>
    </row>
    <row r="278" spans="1:8" x14ac:dyDescent="0.3">
      <c r="A278" s="1">
        <v>315</v>
      </c>
      <c r="B278" s="2">
        <v>0.84027777777777779</v>
      </c>
      <c r="C278" s="2"/>
      <c r="D278" s="1" t="s">
        <v>141</v>
      </c>
      <c r="F278" s="1" t="s">
        <v>140</v>
      </c>
      <c r="G278" s="1" t="s">
        <v>116</v>
      </c>
    </row>
    <row r="279" spans="1:8" x14ac:dyDescent="0.3">
      <c r="A279" s="1">
        <v>316</v>
      </c>
      <c r="B279" s="2">
        <v>0.875</v>
      </c>
      <c r="C279" s="2"/>
      <c r="D279" s="1" t="s">
        <v>141</v>
      </c>
      <c r="F279" s="1" t="s">
        <v>140</v>
      </c>
      <c r="G279" s="1" t="s">
        <v>116</v>
      </c>
    </row>
    <row r="280" spans="1:8" x14ac:dyDescent="0.3">
      <c r="A280" s="1">
        <v>317</v>
      </c>
      <c r="B280" s="2">
        <v>0.875</v>
      </c>
      <c r="C280" s="2"/>
      <c r="D280" s="1" t="s">
        <v>197</v>
      </c>
      <c r="F280" s="1" t="s">
        <v>140</v>
      </c>
      <c r="G280" s="1" t="s">
        <v>116</v>
      </c>
      <c r="H280" s="1" t="s">
        <v>144</v>
      </c>
    </row>
    <row r="281" spans="1:8" x14ac:dyDescent="0.3">
      <c r="A281" s="1">
        <v>318</v>
      </c>
      <c r="B281" s="2">
        <v>0.875</v>
      </c>
      <c r="C281" s="2"/>
      <c r="D281" s="1" t="s">
        <v>198</v>
      </c>
      <c r="F281" s="1" t="s">
        <v>140</v>
      </c>
      <c r="G281" s="1" t="s">
        <v>144</v>
      </c>
    </row>
    <row r="282" spans="1:8" x14ac:dyDescent="0.3">
      <c r="A282" s="1">
        <v>319</v>
      </c>
      <c r="B282" s="2">
        <v>0.95833333333333337</v>
      </c>
      <c r="C282" s="2"/>
      <c r="D282" s="1" t="s">
        <v>198</v>
      </c>
      <c r="F282" s="1" t="s">
        <v>140</v>
      </c>
      <c r="G282" s="1" t="s">
        <v>144</v>
      </c>
    </row>
    <row r="283" spans="1:8" x14ac:dyDescent="0.3">
      <c r="A283" s="1">
        <v>320</v>
      </c>
      <c r="B283" s="2">
        <v>0.95833333333333337</v>
      </c>
      <c r="C283" s="2"/>
      <c r="D283" s="1" t="s">
        <v>199</v>
      </c>
      <c r="F283" s="1" t="s">
        <v>140</v>
      </c>
      <c r="G283" s="1" t="s">
        <v>144</v>
      </c>
    </row>
    <row r="284" spans="1:8" x14ac:dyDescent="0.3">
      <c r="A284" s="1">
        <v>321</v>
      </c>
      <c r="B284" s="2">
        <v>0.33333333333333331</v>
      </c>
      <c r="C284" s="2"/>
      <c r="D284" s="1" t="s">
        <v>199</v>
      </c>
      <c r="F284" s="1" t="s">
        <v>140</v>
      </c>
      <c r="G284" s="1" t="s">
        <v>144</v>
      </c>
    </row>
    <row r="285" spans="1:8" x14ac:dyDescent="0.3">
      <c r="A285" s="1">
        <v>322</v>
      </c>
      <c r="B285" s="2">
        <v>0.92986111111111114</v>
      </c>
      <c r="C285" s="2"/>
      <c r="D285" s="1" t="s">
        <v>181</v>
      </c>
      <c r="F285" s="1" t="s">
        <v>140</v>
      </c>
      <c r="G285" s="1" t="s">
        <v>2</v>
      </c>
    </row>
    <row r="286" spans="1:8" x14ac:dyDescent="0.3">
      <c r="A286" s="1">
        <v>323</v>
      </c>
      <c r="B286" s="2">
        <v>0.92986111111111114</v>
      </c>
      <c r="C286" s="2"/>
      <c r="D286" s="1" t="s">
        <v>136</v>
      </c>
      <c r="F286" s="1" t="s">
        <v>140</v>
      </c>
      <c r="G286" s="1" t="s">
        <v>2</v>
      </c>
    </row>
    <row r="287" spans="1:8" x14ac:dyDescent="0.3">
      <c r="A287" s="1">
        <v>324</v>
      </c>
      <c r="B287" s="2">
        <v>0.92222222222222228</v>
      </c>
      <c r="C287" s="2"/>
      <c r="D287" s="1" t="s">
        <v>136</v>
      </c>
      <c r="F287" s="1" t="s">
        <v>140</v>
      </c>
      <c r="G287" s="1" t="s">
        <v>2</v>
      </c>
    </row>
    <row r="288" spans="1:8" x14ac:dyDescent="0.3">
      <c r="A288" s="1">
        <v>325</v>
      </c>
      <c r="B288" s="2">
        <v>0.92222222222222228</v>
      </c>
      <c r="C288" s="2"/>
      <c r="D288" s="1" t="s">
        <v>200</v>
      </c>
      <c r="F288" s="1" t="s">
        <v>140</v>
      </c>
      <c r="G288" s="1" t="s">
        <v>2</v>
      </c>
    </row>
    <row r="289" spans="1:9" x14ac:dyDescent="0.3">
      <c r="A289" s="1">
        <v>326</v>
      </c>
      <c r="B289" s="2">
        <v>0.91527777777777775</v>
      </c>
      <c r="C289" s="2"/>
      <c r="D289" s="1" t="s">
        <v>200</v>
      </c>
      <c r="F289" s="1" t="s">
        <v>140</v>
      </c>
      <c r="G289" s="1" t="s">
        <v>193</v>
      </c>
      <c r="H289" s="1" t="s">
        <v>2</v>
      </c>
    </row>
    <row r="290" spans="1:9" x14ac:dyDescent="0.3">
      <c r="A290" s="1">
        <v>327</v>
      </c>
      <c r="B290" s="2">
        <v>0.91527777777777775</v>
      </c>
      <c r="C290" s="2"/>
      <c r="D290" s="1" t="s">
        <v>201</v>
      </c>
      <c r="F290" s="1" t="s">
        <v>140</v>
      </c>
      <c r="G290" s="1" t="s">
        <v>193</v>
      </c>
    </row>
    <row r="291" spans="1:9" x14ac:dyDescent="0.3">
      <c r="A291" s="1">
        <v>328</v>
      </c>
      <c r="B291" s="2">
        <v>0.85833333333333328</v>
      </c>
      <c r="C291" s="2"/>
      <c r="D291" s="1" t="s">
        <v>201</v>
      </c>
      <c r="F291" s="1" t="s">
        <v>140</v>
      </c>
      <c r="G291" s="1" t="s">
        <v>193</v>
      </c>
    </row>
    <row r="292" spans="1:9" x14ac:dyDescent="0.3">
      <c r="A292" s="1">
        <v>329</v>
      </c>
      <c r="B292" s="2">
        <v>0.85833333333333328</v>
      </c>
      <c r="C292" s="2"/>
      <c r="D292" s="1" t="s">
        <v>202</v>
      </c>
      <c r="F292" s="1" t="s">
        <v>140</v>
      </c>
      <c r="G292" s="1" t="s">
        <v>193</v>
      </c>
    </row>
    <row r="293" spans="1:9" x14ac:dyDescent="0.3">
      <c r="A293" s="1">
        <v>330</v>
      </c>
      <c r="B293" s="2">
        <v>0.85569444444444442</v>
      </c>
      <c r="C293" s="2"/>
      <c r="D293" s="1" t="s">
        <v>202</v>
      </c>
      <c r="F293" s="1" t="s">
        <v>140</v>
      </c>
      <c r="G293" s="1" t="s">
        <v>193</v>
      </c>
    </row>
    <row r="294" spans="1:9" x14ac:dyDescent="0.3">
      <c r="A294" s="1">
        <v>331</v>
      </c>
      <c r="B294" s="2">
        <v>0.85569444444444442</v>
      </c>
      <c r="C294" s="2"/>
      <c r="D294" s="1" t="s">
        <v>192</v>
      </c>
      <c r="F294" s="1" t="s">
        <v>140</v>
      </c>
      <c r="G294" s="1" t="s">
        <v>193</v>
      </c>
    </row>
    <row r="295" spans="1:9" x14ac:dyDescent="0.3">
      <c r="A295" s="1">
        <v>332</v>
      </c>
      <c r="B295" s="2">
        <v>1.3888888888888888E-2</v>
      </c>
      <c r="C295" s="2"/>
      <c r="D295" s="1" t="s">
        <v>47</v>
      </c>
      <c r="F295" s="1" t="s">
        <v>57</v>
      </c>
      <c r="G295" s="1" t="s">
        <v>16</v>
      </c>
    </row>
    <row r="296" spans="1:9" x14ac:dyDescent="0.3">
      <c r="A296" s="1">
        <v>333</v>
      </c>
      <c r="B296" s="2">
        <v>1.3888888888888888E-2</v>
      </c>
      <c r="C296" s="2"/>
      <c r="D296" s="1" t="s">
        <v>50</v>
      </c>
      <c r="F296" s="1" t="s">
        <v>57</v>
      </c>
      <c r="G296" s="1" t="s">
        <v>16</v>
      </c>
    </row>
    <row r="297" spans="1:9" x14ac:dyDescent="0.3">
      <c r="A297" s="1">
        <v>334</v>
      </c>
      <c r="B297" s="2">
        <v>8.3333333333333329E-2</v>
      </c>
      <c r="C297" s="2"/>
      <c r="D297" s="1" t="s">
        <v>50</v>
      </c>
      <c r="F297" s="1" t="s">
        <v>57</v>
      </c>
      <c r="G297" s="1" t="s">
        <v>16</v>
      </c>
    </row>
    <row r="298" spans="1:9" x14ac:dyDescent="0.3">
      <c r="A298" s="1">
        <v>335</v>
      </c>
      <c r="B298" s="2">
        <v>0.13680555555555557</v>
      </c>
      <c r="C298" s="2"/>
      <c r="D298" s="1" t="s">
        <v>47</v>
      </c>
      <c r="F298" s="1" t="s">
        <v>57</v>
      </c>
      <c r="G298" s="1" t="s">
        <v>92</v>
      </c>
    </row>
    <row r="299" spans="1:9" x14ac:dyDescent="0.3">
      <c r="A299" s="1">
        <v>336</v>
      </c>
      <c r="B299" s="2">
        <v>0.13680555555555557</v>
      </c>
      <c r="C299" s="2"/>
      <c r="D299" s="1" t="s">
        <v>203</v>
      </c>
      <c r="F299" s="1" t="s">
        <v>57</v>
      </c>
      <c r="G299" s="1" t="s">
        <v>124</v>
      </c>
      <c r="H299" s="1" t="s">
        <v>92</v>
      </c>
    </row>
    <row r="300" spans="1:9" x14ac:dyDescent="0.3">
      <c r="A300" s="1">
        <v>337</v>
      </c>
      <c r="B300" s="2">
        <v>0.11041666666666666</v>
      </c>
      <c r="C300" s="2"/>
      <c r="D300" s="1" t="s">
        <v>203</v>
      </c>
      <c r="F300" s="1" t="s">
        <v>57</v>
      </c>
      <c r="G300" s="1" t="s">
        <v>124</v>
      </c>
    </row>
    <row r="301" spans="1:9" x14ac:dyDescent="0.3">
      <c r="A301" s="1">
        <v>338</v>
      </c>
      <c r="B301" s="2">
        <v>0.11041666666666666</v>
      </c>
      <c r="C301" s="2"/>
      <c r="D301" s="1" t="s">
        <v>204</v>
      </c>
      <c r="F301" s="1" t="s">
        <v>57</v>
      </c>
      <c r="G301" s="1" t="s">
        <v>124</v>
      </c>
      <c r="H301" s="1" t="s">
        <v>205</v>
      </c>
    </row>
    <row r="302" spans="1:9" x14ac:dyDescent="0.3">
      <c r="A302" s="1">
        <v>339</v>
      </c>
      <c r="B302" s="2">
        <v>6.9444444444444448E-2</v>
      </c>
      <c r="C302" s="2"/>
      <c r="D302" s="1" t="s">
        <v>204</v>
      </c>
      <c r="F302" s="1" t="s">
        <v>57</v>
      </c>
      <c r="G302" s="1" t="s">
        <v>205</v>
      </c>
    </row>
    <row r="303" spans="1:9" x14ac:dyDescent="0.3">
      <c r="A303" s="1">
        <v>340</v>
      </c>
      <c r="B303" s="2">
        <v>6.9444444444444448E-2</v>
      </c>
      <c r="C303" s="2"/>
      <c r="D303" s="1" t="s">
        <v>58</v>
      </c>
      <c r="F303" s="1" t="s">
        <v>57</v>
      </c>
      <c r="G303" s="1" t="s">
        <v>205</v>
      </c>
      <c r="H303" s="1" t="s">
        <v>59</v>
      </c>
    </row>
    <row r="304" spans="1:9" x14ac:dyDescent="0.3">
      <c r="A304" s="1">
        <v>341</v>
      </c>
      <c r="B304" s="2">
        <v>1.3888888888888888E-2</v>
      </c>
      <c r="C304" s="2"/>
      <c r="D304" s="1" t="s">
        <v>56</v>
      </c>
      <c r="F304" s="1" t="s">
        <v>57</v>
      </c>
      <c r="G304" s="1" t="s">
        <v>16</v>
      </c>
      <c r="I304" t="s">
        <v>188</v>
      </c>
    </row>
    <row r="305" spans="1:8" x14ac:dyDescent="0.3">
      <c r="A305" s="1">
        <v>342</v>
      </c>
      <c r="B305" s="2">
        <v>0.31944444444444442</v>
      </c>
      <c r="C305" s="2"/>
      <c r="D305" s="1" t="s">
        <v>35</v>
      </c>
      <c r="F305" s="1" t="s">
        <v>37</v>
      </c>
      <c r="G305" s="1" t="s">
        <v>206</v>
      </c>
      <c r="H305" s="1" t="s">
        <v>38</v>
      </c>
    </row>
    <row r="306" spans="1:8" x14ac:dyDescent="0.3">
      <c r="A306" s="1">
        <v>343</v>
      </c>
      <c r="B306" s="2">
        <v>0.31944444444444442</v>
      </c>
      <c r="C306" s="2"/>
      <c r="D306" s="1" t="s">
        <v>39</v>
      </c>
      <c r="F306" s="1" t="s">
        <v>37</v>
      </c>
      <c r="G306" s="1" t="s">
        <v>206</v>
      </c>
      <c r="H306" s="1" t="s">
        <v>180</v>
      </c>
    </row>
    <row r="307" spans="1:8" x14ac:dyDescent="0.3">
      <c r="A307" s="1">
        <v>344</v>
      </c>
      <c r="B307" s="2">
        <v>0.5625</v>
      </c>
      <c r="C307" s="2"/>
      <c r="D307" s="1" t="s">
        <v>84</v>
      </c>
      <c r="F307" s="1" t="s">
        <v>45</v>
      </c>
      <c r="G307" s="1" t="s">
        <v>46</v>
      </c>
    </row>
    <row r="308" spans="1:8" x14ac:dyDescent="0.3">
      <c r="A308" s="1">
        <v>345</v>
      </c>
      <c r="B308" s="2">
        <v>0.56944444444444442</v>
      </c>
      <c r="C308" s="2"/>
      <c r="D308" s="1" t="s">
        <v>84</v>
      </c>
      <c r="F308" s="1" t="s">
        <v>45</v>
      </c>
      <c r="G308" s="1" t="s">
        <v>46</v>
      </c>
    </row>
    <row r="309" spans="1:8" x14ac:dyDescent="0.3">
      <c r="A309" s="1">
        <v>346</v>
      </c>
      <c r="B309" s="2">
        <v>0.61458333333333337</v>
      </c>
      <c r="C309" s="2"/>
      <c r="D309" s="1" t="s">
        <v>41</v>
      </c>
      <c r="F309" s="1" t="s">
        <v>45</v>
      </c>
      <c r="G309" s="1" t="s">
        <v>43</v>
      </c>
    </row>
    <row r="310" spans="1:8" x14ac:dyDescent="0.3">
      <c r="A310" s="1">
        <v>347</v>
      </c>
      <c r="B310" s="2">
        <v>0.62152777777777779</v>
      </c>
      <c r="C310" s="2"/>
      <c r="D310" s="1" t="s">
        <v>41</v>
      </c>
      <c r="F310" s="1" t="s">
        <v>45</v>
      </c>
      <c r="G310" s="1" t="s">
        <v>43</v>
      </c>
    </row>
    <row r="311" spans="1:8" x14ac:dyDescent="0.3">
      <c r="A311" s="1">
        <v>348</v>
      </c>
      <c r="B311" s="2">
        <v>0.62152777777777779</v>
      </c>
      <c r="C311" s="2"/>
      <c r="D311" s="1" t="s">
        <v>85</v>
      </c>
      <c r="F311" s="1" t="s">
        <v>45</v>
      </c>
      <c r="G311" s="1" t="s">
        <v>43</v>
      </c>
    </row>
    <row r="312" spans="1:8" x14ac:dyDescent="0.3">
      <c r="A312" s="1">
        <v>349</v>
      </c>
      <c r="B312" s="2">
        <v>0.63194444444444442</v>
      </c>
      <c r="C312" s="2"/>
      <c r="D312" s="1" t="s">
        <v>85</v>
      </c>
      <c r="F312" s="1" t="s">
        <v>45</v>
      </c>
      <c r="G312" s="1" t="s">
        <v>43</v>
      </c>
    </row>
    <row r="313" spans="1:8" x14ac:dyDescent="0.3">
      <c r="A313" s="1">
        <v>350</v>
      </c>
      <c r="B313" s="2">
        <v>0.63194444444444442</v>
      </c>
      <c r="C313" s="2"/>
      <c r="D313" s="1" t="s">
        <v>86</v>
      </c>
      <c r="F313" s="1" t="s">
        <v>45</v>
      </c>
      <c r="G313" s="1" t="s">
        <v>43</v>
      </c>
    </row>
    <row r="314" spans="1:8" x14ac:dyDescent="0.3">
      <c r="A314" s="1">
        <v>351</v>
      </c>
      <c r="B314" s="2">
        <v>0.63888888888888884</v>
      </c>
      <c r="C314" s="2"/>
      <c r="D314" s="1" t="s">
        <v>86</v>
      </c>
      <c r="F314" s="1" t="s">
        <v>45</v>
      </c>
      <c r="G314" s="1" t="s">
        <v>43</v>
      </c>
    </row>
    <row r="315" spans="1:8" x14ac:dyDescent="0.3">
      <c r="A315" s="1">
        <v>352</v>
      </c>
      <c r="B315" s="2">
        <v>0.63888888888888884</v>
      </c>
      <c r="C315" s="2"/>
      <c r="D315" s="1" t="s">
        <v>77</v>
      </c>
      <c r="F315" s="1" t="s">
        <v>45</v>
      </c>
      <c r="G315" s="1" t="s">
        <v>78</v>
      </c>
      <c r="H315" s="1" t="s">
        <v>43</v>
      </c>
    </row>
    <row r="316" spans="1:8" x14ac:dyDescent="0.3">
      <c r="A316" s="1">
        <v>353</v>
      </c>
      <c r="B316" s="2">
        <v>0.63888888888888884</v>
      </c>
      <c r="C316" s="2"/>
      <c r="D316" s="1" t="s">
        <v>177</v>
      </c>
      <c r="F316" s="1" t="s">
        <v>45</v>
      </c>
      <c r="G316" s="1" t="s">
        <v>78</v>
      </c>
    </row>
    <row r="317" spans="1:8" x14ac:dyDescent="0.3">
      <c r="A317" s="1">
        <v>354</v>
      </c>
      <c r="B317" s="2">
        <v>0.62708333333333333</v>
      </c>
      <c r="C317" s="2"/>
      <c r="D317" s="1" t="s">
        <v>177</v>
      </c>
      <c r="F317" s="1" t="s">
        <v>45</v>
      </c>
      <c r="G317" s="1" t="s">
        <v>188</v>
      </c>
      <c r="H317" s="1" t="s">
        <v>78</v>
      </c>
    </row>
    <row r="318" spans="1:8" x14ac:dyDescent="0.3">
      <c r="A318" s="1">
        <v>237</v>
      </c>
      <c r="B318" s="2">
        <v>0.25486111111111109</v>
      </c>
      <c r="C318" s="2"/>
      <c r="D318" s="1" t="s">
        <v>161</v>
      </c>
      <c r="F318" s="1" t="s">
        <v>162</v>
      </c>
      <c r="G318" s="1" t="s">
        <v>133</v>
      </c>
      <c r="H318" s="1" t="s">
        <v>163</v>
      </c>
    </row>
    <row r="319" spans="1:8" x14ac:dyDescent="0.3">
      <c r="A319" s="1">
        <v>238</v>
      </c>
      <c r="B319" s="2">
        <v>0.30694444444444446</v>
      </c>
      <c r="C319" s="2"/>
      <c r="D319" s="1" t="s">
        <v>161</v>
      </c>
      <c r="F319" s="1" t="s">
        <v>162</v>
      </c>
      <c r="G319" s="1" t="s">
        <v>163</v>
      </c>
      <c r="H319" s="1" t="s">
        <v>164</v>
      </c>
    </row>
    <row r="320" spans="1:8" x14ac:dyDescent="0.3">
      <c r="A320" s="1">
        <v>239</v>
      </c>
      <c r="B320" s="2">
        <v>0.30694444444444446</v>
      </c>
      <c r="C320" s="2"/>
      <c r="D320" s="1" t="s">
        <v>165</v>
      </c>
      <c r="F320" s="1" t="s">
        <v>162</v>
      </c>
      <c r="G320" s="1" t="s">
        <v>164</v>
      </c>
    </row>
    <row r="321" spans="1:8" x14ac:dyDescent="0.3">
      <c r="A321" s="1">
        <v>240</v>
      </c>
      <c r="B321" s="2">
        <v>0.27430555555555558</v>
      </c>
      <c r="C321" s="2"/>
      <c r="D321" s="1" t="s">
        <v>165</v>
      </c>
      <c r="F321" s="1" t="s">
        <v>162</v>
      </c>
      <c r="G321" s="1" t="s">
        <v>131</v>
      </c>
      <c r="H321" s="1" t="s">
        <v>164</v>
      </c>
    </row>
    <row r="322" spans="1:8" x14ac:dyDescent="0.3">
      <c r="A322" s="1">
        <v>241</v>
      </c>
      <c r="B322" s="2">
        <v>0.25486111111111109</v>
      </c>
      <c r="C322" s="2"/>
      <c r="D322" s="1" t="s">
        <v>165</v>
      </c>
      <c r="F322" s="1" t="s">
        <v>162</v>
      </c>
      <c r="G322" s="1" t="s">
        <v>131</v>
      </c>
    </row>
    <row r="323" spans="1:8" x14ac:dyDescent="0.3">
      <c r="A323" s="1">
        <v>242</v>
      </c>
      <c r="B323" s="2">
        <v>0.25486111111111109</v>
      </c>
      <c r="C323" s="2"/>
      <c r="D323" s="1" t="s">
        <v>132</v>
      </c>
      <c r="F323" s="1" t="s">
        <v>162</v>
      </c>
      <c r="G323" s="1" t="s">
        <v>131</v>
      </c>
      <c r="H323" s="1" t="s">
        <v>133</v>
      </c>
    </row>
    <row r="324" spans="1:8" x14ac:dyDescent="0.3">
      <c r="A324" s="1">
        <v>243</v>
      </c>
      <c r="B324" s="2">
        <v>0.33680555555555558</v>
      </c>
      <c r="C324" s="2"/>
      <c r="D324" s="1" t="s">
        <v>47</v>
      </c>
      <c r="F324" s="1" t="s">
        <v>152</v>
      </c>
      <c r="G324" s="1" t="s">
        <v>25</v>
      </c>
      <c r="H324" s="1" t="s">
        <v>163</v>
      </c>
    </row>
    <row r="325" spans="1:8" x14ac:dyDescent="0.3">
      <c r="A325" s="1">
        <v>244</v>
      </c>
      <c r="B325" s="2">
        <v>0.3</v>
      </c>
      <c r="C325" s="2"/>
      <c r="D325" s="1" t="s">
        <v>47</v>
      </c>
      <c r="F325" s="1" t="s">
        <v>152</v>
      </c>
      <c r="G325" s="1" t="s">
        <v>163</v>
      </c>
    </row>
    <row r="326" spans="1:8" x14ac:dyDescent="0.3">
      <c r="A326" s="1">
        <v>245</v>
      </c>
      <c r="B326" s="2">
        <v>0.3</v>
      </c>
      <c r="C326" s="2"/>
      <c r="D326" s="1" t="s">
        <v>166</v>
      </c>
      <c r="F326" s="1" t="s">
        <v>152</v>
      </c>
      <c r="G326" s="1" t="s">
        <v>163</v>
      </c>
    </row>
    <row r="327" spans="1:8" x14ac:dyDescent="0.3">
      <c r="A327" s="1">
        <v>246</v>
      </c>
      <c r="B327" s="2">
        <v>0.29236111111111113</v>
      </c>
      <c r="C327" s="2"/>
      <c r="D327" s="1" t="s">
        <v>166</v>
      </c>
      <c r="F327" s="1" t="s">
        <v>152</v>
      </c>
      <c r="G327" s="1" t="s">
        <v>163</v>
      </c>
    </row>
    <row r="328" spans="1:8" x14ac:dyDescent="0.3">
      <c r="A328" s="1">
        <v>247</v>
      </c>
      <c r="B328" s="2">
        <v>0.29236111111111113</v>
      </c>
      <c r="C328" s="2"/>
      <c r="D328" s="1" t="s">
        <v>167</v>
      </c>
      <c r="F328" s="1" t="s">
        <v>152</v>
      </c>
      <c r="G328" s="1" t="s">
        <v>163</v>
      </c>
    </row>
    <row r="329" spans="1:8" x14ac:dyDescent="0.3">
      <c r="A329" s="1">
        <v>248</v>
      </c>
      <c r="B329" s="2">
        <v>0.29166666666666669</v>
      </c>
      <c r="C329" s="2"/>
      <c r="D329" s="1" t="s">
        <v>167</v>
      </c>
      <c r="F329" s="1" t="s">
        <v>152</v>
      </c>
      <c r="G329" s="1" t="s">
        <v>163</v>
      </c>
    </row>
    <row r="330" spans="1:8" x14ac:dyDescent="0.3">
      <c r="A330" s="1">
        <v>249</v>
      </c>
      <c r="B330" s="2">
        <v>0.29166666666666669</v>
      </c>
      <c r="C330" s="2"/>
      <c r="D330" s="1" t="s">
        <v>153</v>
      </c>
      <c r="F330" s="1" t="s">
        <v>152</v>
      </c>
      <c r="G330" s="1" t="s">
        <v>102</v>
      </c>
      <c r="H330" s="1" t="s">
        <v>163</v>
      </c>
    </row>
    <row r="331" spans="1:8" x14ac:dyDescent="0.3">
      <c r="A331" s="1">
        <v>250</v>
      </c>
      <c r="B331" s="2">
        <v>0.29166666666666669</v>
      </c>
      <c r="C331" s="2"/>
      <c r="D331" s="1" t="s">
        <v>168</v>
      </c>
      <c r="F331" s="1" t="s">
        <v>152</v>
      </c>
      <c r="G331" s="1" t="s">
        <v>102</v>
      </c>
    </row>
    <row r="332" spans="1:8" x14ac:dyDescent="0.3">
      <c r="A332" s="1">
        <v>251</v>
      </c>
      <c r="B332" s="2">
        <v>0.3125</v>
      </c>
      <c r="C332" s="2"/>
      <c r="D332" s="1" t="s">
        <v>168</v>
      </c>
      <c r="F332" s="1" t="s">
        <v>152</v>
      </c>
      <c r="G332" s="1" t="s">
        <v>102</v>
      </c>
    </row>
    <row r="333" spans="1:8" x14ac:dyDescent="0.3">
      <c r="A333" s="1">
        <v>252</v>
      </c>
      <c r="B333" s="2">
        <v>0.3125</v>
      </c>
      <c r="C333" s="2"/>
      <c r="D333" s="1" t="s">
        <v>154</v>
      </c>
      <c r="F333" s="1" t="s">
        <v>152</v>
      </c>
      <c r="G333" s="1" t="s">
        <v>102</v>
      </c>
    </row>
    <row r="334" spans="1:8" x14ac:dyDescent="0.3">
      <c r="A334" s="1">
        <v>215</v>
      </c>
      <c r="B334" s="2">
        <v>0.38541666666666669</v>
      </c>
      <c r="C334" s="2"/>
      <c r="D334" s="1" t="s">
        <v>149</v>
      </c>
      <c r="F334" s="1" t="s">
        <v>150</v>
      </c>
      <c r="G334" s="1" t="s">
        <v>25</v>
      </c>
      <c r="H334" s="1" t="s">
        <v>151</v>
      </c>
    </row>
    <row r="335" spans="1:8" x14ac:dyDescent="0.3">
      <c r="A335" s="1">
        <v>216</v>
      </c>
      <c r="B335" s="2">
        <v>0.33680555555555558</v>
      </c>
      <c r="C335" s="2"/>
      <c r="D335" s="1" t="s">
        <v>149</v>
      </c>
      <c r="F335" s="1" t="s">
        <v>150</v>
      </c>
      <c r="G335" s="1" t="s">
        <v>152</v>
      </c>
      <c r="H335" s="1" t="s">
        <v>25</v>
      </c>
    </row>
    <row r="336" spans="1:8" x14ac:dyDescent="0.3">
      <c r="A336" s="1">
        <v>217</v>
      </c>
      <c r="B336" s="2">
        <v>0.33020833333333333</v>
      </c>
      <c r="C336" s="2"/>
      <c r="D336" s="1" t="s">
        <v>149</v>
      </c>
      <c r="F336" s="1" t="s">
        <v>150</v>
      </c>
      <c r="G336" s="1" t="s">
        <v>152</v>
      </c>
    </row>
    <row r="337" spans="1:8" x14ac:dyDescent="0.3">
      <c r="A337" s="1">
        <v>218</v>
      </c>
      <c r="B337" s="2">
        <v>0.33020833333333333</v>
      </c>
      <c r="C337" s="2"/>
      <c r="D337" s="1" t="s">
        <v>153</v>
      </c>
      <c r="F337" s="1" t="s">
        <v>150</v>
      </c>
      <c r="G337" s="1" t="s">
        <v>152</v>
      </c>
    </row>
    <row r="338" spans="1:8" x14ac:dyDescent="0.3">
      <c r="A338" s="1">
        <v>219</v>
      </c>
      <c r="B338" s="2">
        <v>0.32534722222222223</v>
      </c>
      <c r="C338" s="2"/>
      <c r="D338" s="1" t="s">
        <v>153</v>
      </c>
      <c r="F338" s="1" t="s">
        <v>150</v>
      </c>
      <c r="G338" s="1" t="s">
        <v>152</v>
      </c>
    </row>
    <row r="339" spans="1:8" x14ac:dyDescent="0.3">
      <c r="A339" s="1">
        <v>220</v>
      </c>
      <c r="B339" s="2">
        <v>0.32534722222222223</v>
      </c>
      <c r="C339" s="2"/>
      <c r="D339" s="1" t="s">
        <v>154</v>
      </c>
      <c r="F339" s="1" t="s">
        <v>150</v>
      </c>
      <c r="G339" s="1" t="s">
        <v>152</v>
      </c>
      <c r="H339" s="1" t="s">
        <v>102</v>
      </c>
    </row>
    <row r="340" spans="1:8" x14ac:dyDescent="0.3">
      <c r="A340" s="1">
        <v>221</v>
      </c>
      <c r="B340" s="2">
        <v>0.32534722222222223</v>
      </c>
      <c r="C340" s="2"/>
      <c r="D340" s="1" t="s">
        <v>155</v>
      </c>
      <c r="F340" s="1" t="s">
        <v>150</v>
      </c>
      <c r="G340" s="1" t="s">
        <v>102</v>
      </c>
    </row>
    <row r="341" spans="1:8" x14ac:dyDescent="0.3">
      <c r="A341" s="1">
        <v>222</v>
      </c>
      <c r="B341" s="2">
        <v>0.32847222222222222</v>
      </c>
      <c r="C341" s="2"/>
      <c r="D341" s="1" t="s">
        <v>155</v>
      </c>
      <c r="F341" s="1" t="s">
        <v>150</v>
      </c>
      <c r="G341" s="1" t="s">
        <v>102</v>
      </c>
    </row>
    <row r="342" spans="1:8" x14ac:dyDescent="0.3">
      <c r="A342" s="1">
        <v>223</v>
      </c>
      <c r="B342" s="2">
        <v>0.32847222222222222</v>
      </c>
      <c r="C342" s="2"/>
      <c r="D342" s="1" t="s">
        <v>20</v>
      </c>
      <c r="F342" s="1" t="s">
        <v>150</v>
      </c>
      <c r="G342" s="1" t="s">
        <v>102</v>
      </c>
    </row>
    <row r="343" spans="1:8" x14ac:dyDescent="0.3">
      <c r="A343" s="1">
        <v>224</v>
      </c>
      <c r="B343" s="2">
        <v>0.33333333333333331</v>
      </c>
      <c r="C343" s="2"/>
      <c r="D343" s="1" t="s">
        <v>20</v>
      </c>
      <c r="F343" s="1" t="s">
        <v>150</v>
      </c>
      <c r="G343" s="1" t="s">
        <v>102</v>
      </c>
    </row>
    <row r="344" spans="1:8" x14ac:dyDescent="0.3">
      <c r="A344" s="1">
        <v>225</v>
      </c>
      <c r="B344" s="2">
        <v>0.33333333333333331</v>
      </c>
      <c r="C344" s="2"/>
      <c r="D344" s="1" t="s">
        <v>156</v>
      </c>
      <c r="F344" s="1" t="s">
        <v>150</v>
      </c>
      <c r="G344" s="1" t="s">
        <v>102</v>
      </c>
      <c r="H344" s="1" t="s">
        <v>98</v>
      </c>
    </row>
    <row r="345" spans="1:8" x14ac:dyDescent="0.3">
      <c r="A345" s="1">
        <v>226</v>
      </c>
      <c r="B345" s="2">
        <v>0.38541666666666669</v>
      </c>
      <c r="C345" s="2"/>
      <c r="D345" s="1" t="s">
        <v>156</v>
      </c>
      <c r="F345" s="1" t="s">
        <v>150</v>
      </c>
      <c r="G345" s="1" t="s">
        <v>151</v>
      </c>
      <c r="H345" s="1" t="s">
        <v>157</v>
      </c>
    </row>
    <row r="346" spans="1:8" x14ac:dyDescent="0.3">
      <c r="A346" s="1">
        <v>355</v>
      </c>
      <c r="B346" s="2">
        <v>0.27430555555555558</v>
      </c>
      <c r="C346" s="2"/>
      <c r="D346" s="1" t="s">
        <v>130</v>
      </c>
      <c r="F346" s="1" t="s">
        <v>131</v>
      </c>
      <c r="G346" s="1" t="s">
        <v>164</v>
      </c>
    </row>
    <row r="347" spans="1:8" x14ac:dyDescent="0.3">
      <c r="A347" s="1">
        <v>356</v>
      </c>
      <c r="B347" s="2">
        <v>0.25</v>
      </c>
      <c r="C347" s="2"/>
      <c r="D347" s="1" t="s">
        <v>130</v>
      </c>
      <c r="F347" s="1" t="s">
        <v>131</v>
      </c>
      <c r="G347" s="1" t="s">
        <v>128</v>
      </c>
      <c r="H347" s="1" t="s">
        <v>164</v>
      </c>
    </row>
    <row r="348" spans="1:8" x14ac:dyDescent="0.3">
      <c r="A348" s="1">
        <v>357</v>
      </c>
      <c r="B348" s="2">
        <v>0.49444444444444446</v>
      </c>
      <c r="C348" s="2"/>
      <c r="D348" s="1" t="s">
        <v>207</v>
      </c>
      <c r="F348" s="1" t="s">
        <v>110</v>
      </c>
      <c r="G348" s="1" t="s">
        <v>151</v>
      </c>
      <c r="H348" s="1" t="s">
        <v>108</v>
      </c>
    </row>
    <row r="349" spans="1:8" x14ac:dyDescent="0.3">
      <c r="A349" s="1">
        <v>358</v>
      </c>
      <c r="B349" s="2">
        <v>0.49444444444444446</v>
      </c>
      <c r="C349" s="2"/>
      <c r="D349" s="1" t="s">
        <v>208</v>
      </c>
      <c r="F349" s="1" t="s">
        <v>110</v>
      </c>
      <c r="G349" s="1" t="s">
        <v>151</v>
      </c>
      <c r="H349" s="1" t="s">
        <v>114</v>
      </c>
    </row>
    <row r="350" spans="1:8" x14ac:dyDescent="0.3">
      <c r="A350" s="1">
        <v>359</v>
      </c>
      <c r="B350" s="2">
        <v>0.5</v>
      </c>
      <c r="C350" s="2"/>
      <c r="D350" s="1" t="s">
        <v>208</v>
      </c>
      <c r="F350" s="1" t="s">
        <v>110</v>
      </c>
      <c r="G350" s="1" t="s">
        <v>114</v>
      </c>
    </row>
    <row r="351" spans="1:8" x14ac:dyDescent="0.3">
      <c r="A351" s="1">
        <v>360</v>
      </c>
      <c r="B351" s="2">
        <v>0.53472222222222221</v>
      </c>
      <c r="C351" s="2"/>
      <c r="D351" s="1" t="s">
        <v>109</v>
      </c>
      <c r="F351" s="1" t="s">
        <v>110</v>
      </c>
      <c r="G351" s="1" t="s">
        <v>108</v>
      </c>
    </row>
    <row r="352" spans="1:8" x14ac:dyDescent="0.3">
      <c r="A352" s="1">
        <v>361</v>
      </c>
      <c r="B352" s="2">
        <v>0.53472222222222221</v>
      </c>
      <c r="C352" s="2"/>
      <c r="D352" s="1" t="s">
        <v>207</v>
      </c>
      <c r="F352" s="1" t="s">
        <v>110</v>
      </c>
      <c r="G352" s="1" t="s">
        <v>108</v>
      </c>
    </row>
    <row r="353" spans="1:8" x14ac:dyDescent="0.3">
      <c r="A353" s="1">
        <v>362</v>
      </c>
      <c r="B353" s="2">
        <v>0.74305555555555558</v>
      </c>
      <c r="C353" s="2"/>
      <c r="D353" s="1" t="s">
        <v>135</v>
      </c>
      <c r="F353" s="1" t="s">
        <v>81</v>
      </c>
      <c r="G353" s="1" t="s">
        <v>75</v>
      </c>
      <c r="H353" s="1" t="s">
        <v>80</v>
      </c>
    </row>
    <row r="354" spans="1:8" x14ac:dyDescent="0.3">
      <c r="A354" s="1">
        <v>363</v>
      </c>
      <c r="B354" s="2">
        <v>0.79861111111111116</v>
      </c>
      <c r="C354" s="2"/>
      <c r="D354" s="1" t="s">
        <v>135</v>
      </c>
      <c r="F354" s="1" t="s">
        <v>81</v>
      </c>
      <c r="G354" s="1" t="s">
        <v>75</v>
      </c>
    </row>
    <row r="355" spans="1:8" x14ac:dyDescent="0.3">
      <c r="A355" s="1">
        <v>364</v>
      </c>
      <c r="B355" s="2">
        <v>0.79861111111111116</v>
      </c>
      <c r="C355" s="2"/>
      <c r="D355" s="1" t="s">
        <v>79</v>
      </c>
      <c r="F355" s="1" t="s">
        <v>81</v>
      </c>
      <c r="G355" s="1" t="s">
        <v>75</v>
      </c>
      <c r="H355" s="1" t="s">
        <v>82</v>
      </c>
    </row>
    <row r="356" spans="1:8" x14ac:dyDescent="0.3">
      <c r="A356" s="1">
        <v>365</v>
      </c>
      <c r="B356" s="2">
        <v>0.68055555555555558</v>
      </c>
      <c r="C356" s="2"/>
      <c r="D356" s="1" t="s">
        <v>119</v>
      </c>
      <c r="F356" s="1" t="s">
        <v>120</v>
      </c>
      <c r="G356" s="1" t="s">
        <v>68</v>
      </c>
    </row>
    <row r="357" spans="1:8" x14ac:dyDescent="0.3">
      <c r="A357" s="1">
        <v>366</v>
      </c>
      <c r="B357" s="2">
        <v>0.68055555555555558</v>
      </c>
      <c r="C357" s="2"/>
      <c r="D357" s="1" t="s">
        <v>209</v>
      </c>
      <c r="F357" s="1" t="s">
        <v>120</v>
      </c>
      <c r="G357" s="1" t="s">
        <v>68</v>
      </c>
    </row>
    <row r="358" spans="1:8" x14ac:dyDescent="0.3">
      <c r="A358" s="1">
        <v>367</v>
      </c>
      <c r="B358" s="2">
        <v>0.67361111111111116</v>
      </c>
      <c r="C358" s="2"/>
      <c r="D358" s="1" t="s">
        <v>209</v>
      </c>
      <c r="F358" s="1" t="s">
        <v>120</v>
      </c>
      <c r="G358" s="1" t="s">
        <v>68</v>
      </c>
    </row>
    <row r="359" spans="1:8" x14ac:dyDescent="0.3">
      <c r="A359" s="1">
        <v>368</v>
      </c>
      <c r="B359" s="2">
        <v>0.67361111111111116</v>
      </c>
      <c r="C359" s="2"/>
      <c r="D359" s="1" t="s">
        <v>121</v>
      </c>
      <c r="F359" s="1" t="s">
        <v>120</v>
      </c>
      <c r="G359" s="1" t="s">
        <v>68</v>
      </c>
    </row>
    <row r="360" spans="1:8" x14ac:dyDescent="0.3">
      <c r="A360" s="1">
        <v>369</v>
      </c>
      <c r="B360" s="2">
        <v>0.66805555555555551</v>
      </c>
      <c r="C360" s="2"/>
      <c r="D360" s="1" t="s">
        <v>121</v>
      </c>
      <c r="F360" s="1" t="s">
        <v>120</v>
      </c>
      <c r="G360" s="1" t="s">
        <v>68</v>
      </c>
      <c r="H360" s="1" t="s">
        <v>107</v>
      </c>
    </row>
    <row r="361" spans="1:8" x14ac:dyDescent="0.3">
      <c r="A361" s="1">
        <v>376</v>
      </c>
      <c r="B361" s="2">
        <v>0.44791666666666669</v>
      </c>
      <c r="C361" s="2"/>
      <c r="D361" s="1" t="s">
        <v>214</v>
      </c>
      <c r="F361" s="1" t="s">
        <v>211</v>
      </c>
      <c r="G361" s="1" t="s">
        <v>151</v>
      </c>
      <c r="H361" s="1" t="s">
        <v>215</v>
      </c>
    </row>
    <row r="362" spans="1:8" x14ac:dyDescent="0.3">
      <c r="A362" s="1">
        <v>377</v>
      </c>
      <c r="B362" s="2">
        <v>0.44791666666666669</v>
      </c>
      <c r="C362" s="2"/>
      <c r="D362" s="1" t="s">
        <v>161</v>
      </c>
      <c r="F362" s="1" t="s">
        <v>211</v>
      </c>
      <c r="G362" s="1" t="s">
        <v>25</v>
      </c>
      <c r="H362" s="1" t="s">
        <v>215</v>
      </c>
    </row>
    <row r="363" spans="1:8" x14ac:dyDescent="0.3">
      <c r="A363" s="1">
        <v>378</v>
      </c>
      <c r="B363" s="2">
        <v>0.44791666666666669</v>
      </c>
      <c r="C363" s="2"/>
      <c r="D363" s="1" t="s">
        <v>216</v>
      </c>
      <c r="F363" s="1" t="s">
        <v>211</v>
      </c>
      <c r="G363" s="1" t="s">
        <v>25</v>
      </c>
    </row>
    <row r="364" spans="1:8" x14ac:dyDescent="0.3">
      <c r="A364" s="1">
        <v>379</v>
      </c>
      <c r="B364" s="2">
        <v>0.4513888888888889</v>
      </c>
      <c r="C364" s="2"/>
      <c r="D364" s="1" t="s">
        <v>216</v>
      </c>
      <c r="F364" s="1" t="s">
        <v>211</v>
      </c>
      <c r="G364" s="1" t="s">
        <v>25</v>
      </c>
    </row>
    <row r="365" spans="1:8" x14ac:dyDescent="0.3">
      <c r="A365" s="1">
        <v>380</v>
      </c>
      <c r="B365" s="2">
        <v>0.4513888888888889</v>
      </c>
      <c r="C365" s="2"/>
      <c r="D365" s="1" t="s">
        <v>212</v>
      </c>
      <c r="F365" s="1" t="s">
        <v>211</v>
      </c>
      <c r="G365" s="1" t="s">
        <v>25</v>
      </c>
    </row>
    <row r="366" spans="1:8" x14ac:dyDescent="0.3">
      <c r="A366" s="1">
        <v>381</v>
      </c>
      <c r="B366" s="2">
        <v>0.49305555555555558</v>
      </c>
      <c r="C366" s="2"/>
      <c r="D366" s="1" t="s">
        <v>214</v>
      </c>
      <c r="F366" s="1" t="s">
        <v>211</v>
      </c>
      <c r="G366" s="1" t="s">
        <v>108</v>
      </c>
    </row>
    <row r="367" spans="1:8" x14ac:dyDescent="0.3">
      <c r="A367" s="1">
        <v>382</v>
      </c>
      <c r="B367" s="2">
        <v>0.47986111111111113</v>
      </c>
      <c r="C367" s="2"/>
      <c r="D367" s="1" t="s">
        <v>214</v>
      </c>
      <c r="F367" s="1" t="s">
        <v>211</v>
      </c>
      <c r="G367" s="1" t="s">
        <v>151</v>
      </c>
      <c r="H367" s="1" t="s">
        <v>108</v>
      </c>
    </row>
    <row r="368" spans="1:8" x14ac:dyDescent="0.3">
      <c r="A368" s="1">
        <v>370</v>
      </c>
      <c r="B368" s="2">
        <v>0.53472222222222221</v>
      </c>
      <c r="C368" s="2"/>
      <c r="D368" s="1" t="s">
        <v>161</v>
      </c>
      <c r="F368" s="1" t="s">
        <v>210</v>
      </c>
      <c r="G368" s="1" t="s">
        <v>108</v>
      </c>
    </row>
    <row r="369" spans="1:8" x14ac:dyDescent="0.3">
      <c r="A369" s="1">
        <v>371</v>
      </c>
      <c r="B369" s="2">
        <v>0.49305555555555558</v>
      </c>
      <c r="C369" s="2"/>
      <c r="D369" s="1" t="s">
        <v>161</v>
      </c>
      <c r="F369" s="1" t="s">
        <v>210</v>
      </c>
      <c r="G369" s="1" t="s">
        <v>211</v>
      </c>
      <c r="H369" s="1" t="s">
        <v>108</v>
      </c>
    </row>
    <row r="370" spans="1:8" x14ac:dyDescent="0.3">
      <c r="A370" s="1">
        <v>372</v>
      </c>
      <c r="B370" s="2">
        <v>0.49305555555555558</v>
      </c>
      <c r="C370" s="2"/>
      <c r="D370" s="1" t="s">
        <v>212</v>
      </c>
      <c r="F370" s="1" t="s">
        <v>210</v>
      </c>
      <c r="G370" s="1" t="s">
        <v>211</v>
      </c>
      <c r="H370" s="1" t="s">
        <v>25</v>
      </c>
    </row>
    <row r="371" spans="1:8" x14ac:dyDescent="0.3">
      <c r="A371" s="1">
        <v>373</v>
      </c>
      <c r="B371" s="2">
        <v>0.52430555555555558</v>
      </c>
      <c r="C371" s="2"/>
      <c r="D371" s="1" t="s">
        <v>212</v>
      </c>
      <c r="F371" s="1" t="s">
        <v>210</v>
      </c>
      <c r="G371" s="1" t="s">
        <v>25</v>
      </c>
    </row>
    <row r="372" spans="1:8" x14ac:dyDescent="0.3">
      <c r="A372" s="1">
        <v>374</v>
      </c>
      <c r="B372" s="2">
        <v>0.52430555555555558</v>
      </c>
      <c r="C372" s="2"/>
      <c r="D372" s="1" t="s">
        <v>213</v>
      </c>
      <c r="F372" s="1" t="s">
        <v>210</v>
      </c>
      <c r="G372" s="1" t="s">
        <v>25</v>
      </c>
    </row>
    <row r="373" spans="1:8" x14ac:dyDescent="0.3">
      <c r="A373" s="1">
        <v>375</v>
      </c>
      <c r="B373" s="2">
        <v>0.53472222222222221</v>
      </c>
      <c r="C373" s="2"/>
      <c r="D373" s="1" t="s">
        <v>213</v>
      </c>
      <c r="F373" s="1" t="s">
        <v>210</v>
      </c>
      <c r="G373" s="1" t="s">
        <v>25</v>
      </c>
      <c r="H373" s="1" t="s">
        <v>108</v>
      </c>
    </row>
    <row r="374" spans="1:8" x14ac:dyDescent="0.3">
      <c r="A374" s="1">
        <v>227</v>
      </c>
      <c r="B374" s="2">
        <v>0.5</v>
      </c>
      <c r="C374" s="2"/>
      <c r="D374" s="1" t="s">
        <v>158</v>
      </c>
      <c r="F374" s="1" t="s">
        <v>111</v>
      </c>
      <c r="G374" s="1" t="s">
        <v>110</v>
      </c>
      <c r="H374" s="1" t="s">
        <v>114</v>
      </c>
    </row>
    <row r="375" spans="1:8" x14ac:dyDescent="0.3">
      <c r="A375" s="1">
        <v>228</v>
      </c>
      <c r="B375" s="2">
        <v>0.5</v>
      </c>
      <c r="C375" s="2"/>
      <c r="D375" s="1" t="s">
        <v>159</v>
      </c>
      <c r="F375" s="1" t="s">
        <v>111</v>
      </c>
      <c r="G375" s="1" t="s">
        <v>114</v>
      </c>
    </row>
    <row r="376" spans="1:8" x14ac:dyDescent="0.3">
      <c r="A376" s="1">
        <v>229</v>
      </c>
      <c r="B376" s="2">
        <v>0.50347222222222221</v>
      </c>
      <c r="C376" s="2"/>
      <c r="D376" s="1" t="s">
        <v>159</v>
      </c>
      <c r="F376" s="1" t="s">
        <v>111</v>
      </c>
      <c r="G376" s="1" t="s">
        <v>114</v>
      </c>
    </row>
    <row r="377" spans="1:8" x14ac:dyDescent="0.3">
      <c r="A377" s="1">
        <v>230</v>
      </c>
      <c r="B377" s="2">
        <v>0.50347222222222221</v>
      </c>
      <c r="C377" s="2"/>
      <c r="D377" s="1" t="s">
        <v>117</v>
      </c>
      <c r="F377" s="1" t="s">
        <v>111</v>
      </c>
      <c r="G377" s="1" t="s">
        <v>114</v>
      </c>
    </row>
    <row r="378" spans="1:8" x14ac:dyDescent="0.3">
      <c r="A378" s="1">
        <v>231</v>
      </c>
      <c r="B378" s="2">
        <v>0.5625</v>
      </c>
      <c r="C378" s="2"/>
      <c r="D378" s="1" t="s">
        <v>117</v>
      </c>
      <c r="F378" s="1" t="s">
        <v>111</v>
      </c>
      <c r="G378" s="1" t="s">
        <v>114</v>
      </c>
    </row>
    <row r="379" spans="1:8" x14ac:dyDescent="0.3">
      <c r="A379" s="1">
        <v>232</v>
      </c>
      <c r="B379" s="2">
        <v>0.5625</v>
      </c>
      <c r="C379" s="2"/>
      <c r="D379" s="1" t="s">
        <v>113</v>
      </c>
      <c r="F379" s="1" t="s">
        <v>111</v>
      </c>
      <c r="G379" s="1" t="s">
        <v>114</v>
      </c>
    </row>
    <row r="380" spans="1:8" x14ac:dyDescent="0.3">
      <c r="A380" s="1">
        <v>233</v>
      </c>
      <c r="B380" s="2">
        <v>0.55208333333333337</v>
      </c>
      <c r="C380" s="2"/>
      <c r="D380" s="1" t="s">
        <v>103</v>
      </c>
      <c r="F380" s="1" t="s">
        <v>111</v>
      </c>
      <c r="G380" s="1" t="s">
        <v>110</v>
      </c>
    </row>
    <row r="381" spans="1:8" x14ac:dyDescent="0.3">
      <c r="A381" s="1">
        <v>234</v>
      </c>
      <c r="B381" s="2">
        <v>0.55208333333333337</v>
      </c>
      <c r="C381" s="2"/>
      <c r="D381" s="1" t="s">
        <v>160</v>
      </c>
      <c r="F381" s="1" t="s">
        <v>111</v>
      </c>
      <c r="G381" s="1" t="s">
        <v>110</v>
      </c>
    </row>
    <row r="382" spans="1:8" x14ac:dyDescent="0.3">
      <c r="A382" s="1">
        <v>235</v>
      </c>
      <c r="B382" s="2">
        <v>0.51388888888888884</v>
      </c>
      <c r="C382" s="2"/>
      <c r="D382" s="1" t="s">
        <v>160</v>
      </c>
      <c r="F382" s="1" t="s">
        <v>111</v>
      </c>
      <c r="G382" s="1" t="s">
        <v>110</v>
      </c>
    </row>
    <row r="383" spans="1:8" x14ac:dyDescent="0.3">
      <c r="A383" s="1">
        <v>236</v>
      </c>
      <c r="B383" s="2">
        <v>0.51388888888888884</v>
      </c>
      <c r="C383" s="2"/>
      <c r="D383" s="1" t="s">
        <v>158</v>
      </c>
      <c r="F383" s="1" t="s">
        <v>111</v>
      </c>
      <c r="G383" s="1" t="s">
        <v>110</v>
      </c>
    </row>
    <row r="384" spans="1:8" x14ac:dyDescent="0.3">
      <c r="A384" s="1">
        <v>383</v>
      </c>
      <c r="B384" s="2">
        <v>0.80243055555555554</v>
      </c>
      <c r="C384" s="2"/>
      <c r="D384" s="1" t="s">
        <v>217</v>
      </c>
      <c r="F384" s="1" t="s">
        <v>193</v>
      </c>
      <c r="G384" s="1" t="s">
        <v>218</v>
      </c>
      <c r="H384" s="1" t="s">
        <v>219</v>
      </c>
    </row>
    <row r="385" spans="1:8" x14ac:dyDescent="0.3">
      <c r="A385" s="1">
        <v>384</v>
      </c>
      <c r="B385" s="2">
        <v>0.80243055555555554</v>
      </c>
      <c r="C385" s="2"/>
      <c r="D385" s="1" t="s">
        <v>104</v>
      </c>
      <c r="F385" s="1" t="s">
        <v>193</v>
      </c>
      <c r="G385" s="1" t="s">
        <v>218</v>
      </c>
    </row>
    <row r="386" spans="1:8" x14ac:dyDescent="0.3">
      <c r="A386" s="1">
        <v>385</v>
      </c>
      <c r="B386" s="2">
        <v>0.80659722222222219</v>
      </c>
      <c r="C386" s="2"/>
      <c r="D386" s="1" t="s">
        <v>104</v>
      </c>
      <c r="F386" s="1" t="s">
        <v>193</v>
      </c>
      <c r="G386" s="1" t="s">
        <v>218</v>
      </c>
    </row>
    <row r="387" spans="1:8" x14ac:dyDescent="0.3">
      <c r="A387" s="1">
        <v>386</v>
      </c>
      <c r="B387" s="2">
        <v>0.80659722222222219</v>
      </c>
      <c r="C387" s="2"/>
      <c r="D387" s="1" t="s">
        <v>220</v>
      </c>
      <c r="F387" s="1" t="s">
        <v>193</v>
      </c>
      <c r="G387" s="1" t="s">
        <v>218</v>
      </c>
    </row>
    <row r="388" spans="1:8" x14ac:dyDescent="0.3">
      <c r="A388" s="1">
        <v>387</v>
      </c>
      <c r="B388" s="2">
        <v>0.80833333333333335</v>
      </c>
      <c r="C388" s="2"/>
      <c r="D388" s="1" t="s">
        <v>220</v>
      </c>
      <c r="F388" s="1" t="s">
        <v>193</v>
      </c>
      <c r="G388" s="1" t="s">
        <v>218</v>
      </c>
    </row>
    <row r="389" spans="1:8" x14ac:dyDescent="0.3">
      <c r="A389" s="1">
        <v>388</v>
      </c>
      <c r="B389" s="2">
        <v>0.80833333333333335</v>
      </c>
      <c r="C389" s="2"/>
      <c r="D389" s="1" t="s">
        <v>221</v>
      </c>
      <c r="F389" s="1" t="s">
        <v>193</v>
      </c>
      <c r="G389" s="1" t="s">
        <v>218</v>
      </c>
    </row>
    <row r="390" spans="1:8" x14ac:dyDescent="0.3">
      <c r="A390" s="1">
        <v>389</v>
      </c>
      <c r="B390" s="2">
        <v>0.79861111111111116</v>
      </c>
      <c r="C390" s="2"/>
      <c r="D390" s="1" t="s">
        <v>221</v>
      </c>
      <c r="F390" s="1" t="s">
        <v>193</v>
      </c>
      <c r="G390" s="1" t="s">
        <v>218</v>
      </c>
    </row>
    <row r="391" spans="1:8" x14ac:dyDescent="0.3">
      <c r="A391" s="1">
        <v>390</v>
      </c>
      <c r="B391" s="2">
        <v>0.79861111111111116</v>
      </c>
      <c r="C391" s="2"/>
      <c r="D391" s="1" t="s">
        <v>222</v>
      </c>
      <c r="F391" s="1" t="s">
        <v>193</v>
      </c>
      <c r="G391" s="1" t="s">
        <v>218</v>
      </c>
    </row>
    <row r="392" spans="1:8" x14ac:dyDescent="0.3">
      <c r="A392" s="1">
        <v>391</v>
      </c>
      <c r="B392" s="2">
        <v>0.79513888888888884</v>
      </c>
      <c r="C392" s="2"/>
      <c r="D392" s="1" t="s">
        <v>222</v>
      </c>
      <c r="F392" s="1" t="s">
        <v>193</v>
      </c>
      <c r="G392" s="1" t="s">
        <v>116</v>
      </c>
      <c r="H392" s="1" t="s">
        <v>218</v>
      </c>
    </row>
    <row r="393" spans="1:8" x14ac:dyDescent="0.3">
      <c r="A393" s="1">
        <v>392</v>
      </c>
      <c r="B393" s="2">
        <v>0.79513888888888884</v>
      </c>
      <c r="C393" s="2"/>
      <c r="D393" s="1" t="s">
        <v>115</v>
      </c>
      <c r="F393" s="1" t="s">
        <v>193</v>
      </c>
      <c r="G393" s="1" t="s">
        <v>116</v>
      </c>
    </row>
    <row r="394" spans="1:8" x14ac:dyDescent="0.3">
      <c r="A394" s="1">
        <v>393</v>
      </c>
      <c r="B394" s="2">
        <v>0.80902777777777779</v>
      </c>
      <c r="C394" s="2"/>
      <c r="D394" s="1" t="s">
        <v>115</v>
      </c>
      <c r="F394" s="1" t="s">
        <v>193</v>
      </c>
      <c r="G394" s="1" t="s">
        <v>116</v>
      </c>
    </row>
    <row r="395" spans="1:8" x14ac:dyDescent="0.3">
      <c r="A395" s="1">
        <v>394</v>
      </c>
      <c r="B395" s="2">
        <v>0.80902777777777779</v>
      </c>
      <c r="C395" s="2"/>
      <c r="D395" s="1" t="s">
        <v>223</v>
      </c>
      <c r="F395" s="1" t="s">
        <v>193</v>
      </c>
      <c r="G395" s="1" t="s">
        <v>116</v>
      </c>
    </row>
    <row r="396" spans="1:8" x14ac:dyDescent="0.3">
      <c r="A396" s="1">
        <v>395</v>
      </c>
      <c r="B396" s="2">
        <v>0.82361111111111107</v>
      </c>
      <c r="C396" s="2"/>
      <c r="D396" s="1" t="s">
        <v>223</v>
      </c>
      <c r="F396" s="1" t="s">
        <v>193</v>
      </c>
      <c r="G396" s="1" t="s">
        <v>116</v>
      </c>
    </row>
    <row r="397" spans="1:8" x14ac:dyDescent="0.3">
      <c r="A397" s="1">
        <v>396</v>
      </c>
      <c r="B397" s="2">
        <v>0.82361111111111107</v>
      </c>
      <c r="C397" s="2"/>
      <c r="D397" s="1" t="s">
        <v>192</v>
      </c>
      <c r="F397" s="1" t="s">
        <v>193</v>
      </c>
      <c r="G397" s="1" t="s">
        <v>116</v>
      </c>
    </row>
    <row r="398" spans="1:8" x14ac:dyDescent="0.3">
      <c r="A398" s="1">
        <v>397</v>
      </c>
      <c r="B398" s="2">
        <v>0.91527777777777775</v>
      </c>
      <c r="C398" s="2"/>
      <c r="D398" s="1" t="s">
        <v>224</v>
      </c>
      <c r="F398" s="1" t="s">
        <v>193</v>
      </c>
      <c r="G398" s="1" t="s">
        <v>2</v>
      </c>
    </row>
    <row r="399" spans="1:8" x14ac:dyDescent="0.3">
      <c r="A399" s="1">
        <v>398</v>
      </c>
      <c r="B399" s="2">
        <v>0.91284722222222225</v>
      </c>
      <c r="C399" s="2"/>
      <c r="D399" s="1" t="s">
        <v>224</v>
      </c>
      <c r="F399" s="1" t="s">
        <v>193</v>
      </c>
      <c r="G399" s="1" t="s">
        <v>2</v>
      </c>
    </row>
    <row r="400" spans="1:8" x14ac:dyDescent="0.3">
      <c r="A400" s="1">
        <v>399</v>
      </c>
      <c r="B400" s="2">
        <v>0.91284722222222225</v>
      </c>
      <c r="C400" s="2"/>
      <c r="D400" s="1" t="s">
        <v>225</v>
      </c>
      <c r="F400" s="1" t="s">
        <v>193</v>
      </c>
      <c r="G400" s="1" t="s">
        <v>2</v>
      </c>
    </row>
    <row r="401" spans="1:8" x14ac:dyDescent="0.3">
      <c r="A401" s="1">
        <v>400</v>
      </c>
      <c r="B401" s="2">
        <v>0.91145833333333337</v>
      </c>
      <c r="C401" s="2"/>
      <c r="D401" s="1" t="s">
        <v>225</v>
      </c>
      <c r="F401" s="1" t="s">
        <v>193</v>
      </c>
      <c r="G401" s="1" t="s">
        <v>2</v>
      </c>
    </row>
    <row r="402" spans="1:8" x14ac:dyDescent="0.3">
      <c r="A402" s="1">
        <v>401</v>
      </c>
      <c r="B402" s="2">
        <v>0.91145833333333337</v>
      </c>
      <c r="C402" s="2"/>
      <c r="D402" s="1" t="s">
        <v>95</v>
      </c>
      <c r="F402" s="1" t="s">
        <v>193</v>
      </c>
      <c r="G402" s="1" t="s">
        <v>2</v>
      </c>
      <c r="H402" s="1" t="s">
        <v>3</v>
      </c>
    </row>
    <row r="403" spans="1:8" x14ac:dyDescent="0.3">
      <c r="A403" s="1">
        <v>402</v>
      </c>
      <c r="B403" s="2">
        <v>0.90555555555555556</v>
      </c>
      <c r="C403" s="2"/>
      <c r="D403" s="1" t="s">
        <v>95</v>
      </c>
      <c r="F403" s="1" t="s">
        <v>193</v>
      </c>
      <c r="G403" s="1" t="s">
        <v>3</v>
      </c>
    </row>
    <row r="404" spans="1:8" x14ac:dyDescent="0.3">
      <c r="A404" s="1">
        <v>403</v>
      </c>
      <c r="B404" s="2">
        <v>0.90555555555555556</v>
      </c>
      <c r="C404" s="2"/>
      <c r="D404" s="1" t="s">
        <v>20</v>
      </c>
      <c r="F404" s="1" t="s">
        <v>193</v>
      </c>
      <c r="G404" s="1" t="s">
        <v>3</v>
      </c>
    </row>
    <row r="405" spans="1:8" x14ac:dyDescent="0.3">
      <c r="A405" s="1">
        <v>404</v>
      </c>
      <c r="B405" s="2">
        <v>0.89236111111111116</v>
      </c>
      <c r="C405" s="2"/>
      <c r="D405" s="1" t="s">
        <v>20</v>
      </c>
      <c r="F405" s="1" t="s">
        <v>193</v>
      </c>
      <c r="G405" s="1" t="s">
        <v>3</v>
      </c>
      <c r="H405" s="1" t="s">
        <v>219</v>
      </c>
    </row>
    <row r="406" spans="1:8" x14ac:dyDescent="0.3">
      <c r="A406" s="1">
        <v>405</v>
      </c>
      <c r="B406" s="2">
        <v>0.87152777777777779</v>
      </c>
      <c r="C406" s="2"/>
      <c r="D406" s="1" t="s">
        <v>20</v>
      </c>
      <c r="F406" s="1" t="s">
        <v>193</v>
      </c>
      <c r="G406" s="1" t="s">
        <v>219</v>
      </c>
    </row>
    <row r="407" spans="1:8" x14ac:dyDescent="0.3">
      <c r="A407" s="1">
        <v>406</v>
      </c>
      <c r="B407" s="2">
        <v>0.87152777777777779</v>
      </c>
      <c r="C407" s="2"/>
      <c r="D407" s="1" t="s">
        <v>208</v>
      </c>
      <c r="F407" s="1" t="s">
        <v>193</v>
      </c>
      <c r="G407" s="1" t="s">
        <v>219</v>
      </c>
    </row>
    <row r="408" spans="1:8" x14ac:dyDescent="0.3">
      <c r="A408" s="1">
        <v>407</v>
      </c>
      <c r="B408" s="2">
        <v>0.81944444444444442</v>
      </c>
      <c r="C408" s="2"/>
      <c r="D408" s="1" t="s">
        <v>208</v>
      </c>
      <c r="F408" s="1" t="s">
        <v>193</v>
      </c>
      <c r="G408" s="1" t="s">
        <v>219</v>
      </c>
    </row>
    <row r="409" spans="1:8" x14ac:dyDescent="0.3">
      <c r="A409" s="1">
        <v>408</v>
      </c>
      <c r="B409" s="2">
        <v>0.81944444444444442</v>
      </c>
      <c r="C409" s="2"/>
      <c r="D409" s="1" t="s">
        <v>217</v>
      </c>
      <c r="F409" s="1" t="s">
        <v>193</v>
      </c>
      <c r="G409" s="1" t="s">
        <v>219</v>
      </c>
    </row>
    <row r="410" spans="1:8" x14ac:dyDescent="0.3">
      <c r="A410" s="1">
        <v>409</v>
      </c>
      <c r="B410" s="2">
        <v>0.84375</v>
      </c>
      <c r="C410" s="2"/>
      <c r="D410" s="1" t="s">
        <v>72</v>
      </c>
      <c r="F410" s="1" t="s">
        <v>51</v>
      </c>
      <c r="G410" s="1" t="s">
        <v>70</v>
      </c>
    </row>
    <row r="411" spans="1:8" x14ac:dyDescent="0.3">
      <c r="A411" s="1">
        <v>410</v>
      </c>
      <c r="B411" s="2">
        <v>0.84375</v>
      </c>
      <c r="C411" s="2"/>
      <c r="D411" s="1" t="s">
        <v>226</v>
      </c>
      <c r="F411" s="1" t="s">
        <v>51</v>
      </c>
      <c r="G411" s="1" t="s">
        <v>70</v>
      </c>
      <c r="H411" s="1" t="s">
        <v>219</v>
      </c>
    </row>
    <row r="412" spans="1:8" x14ac:dyDescent="0.3">
      <c r="A412" s="1">
        <v>411</v>
      </c>
      <c r="B412" s="2">
        <v>0.8569444444444444</v>
      </c>
      <c r="C412" s="2"/>
      <c r="D412" s="1" t="s">
        <v>226</v>
      </c>
      <c r="F412" s="1" t="s">
        <v>51</v>
      </c>
      <c r="G412" s="1" t="s">
        <v>219</v>
      </c>
    </row>
    <row r="413" spans="1:8" x14ac:dyDescent="0.3">
      <c r="A413" s="1">
        <v>412</v>
      </c>
      <c r="B413" s="2">
        <v>0.8569444444444444</v>
      </c>
      <c r="C413" s="2"/>
      <c r="D413" s="1" t="s">
        <v>227</v>
      </c>
      <c r="F413" s="1" t="s">
        <v>51</v>
      </c>
      <c r="G413" s="1" t="s">
        <v>219</v>
      </c>
    </row>
    <row r="414" spans="1:8" x14ac:dyDescent="0.3">
      <c r="A414" s="1">
        <v>413</v>
      </c>
      <c r="B414" s="2">
        <v>0.87708333333333333</v>
      </c>
      <c r="C414" s="2"/>
      <c r="D414" s="1" t="s">
        <v>227</v>
      </c>
      <c r="F414" s="1" t="s">
        <v>51</v>
      </c>
      <c r="G414" s="1" t="s">
        <v>3</v>
      </c>
      <c r="H414" s="1" t="s">
        <v>219</v>
      </c>
    </row>
    <row r="415" spans="1:8" x14ac:dyDescent="0.3">
      <c r="A415" s="1">
        <v>414</v>
      </c>
      <c r="B415" s="2">
        <v>0.87708333333333333</v>
      </c>
      <c r="C415" s="2"/>
      <c r="D415" s="1" t="s">
        <v>228</v>
      </c>
      <c r="F415" s="1" t="s">
        <v>51</v>
      </c>
      <c r="G415" s="1" t="s">
        <v>52</v>
      </c>
      <c r="H415" s="1" t="s">
        <v>3</v>
      </c>
    </row>
    <row r="416" spans="1:8" x14ac:dyDescent="0.3">
      <c r="A416" s="1">
        <v>415</v>
      </c>
      <c r="B416" s="2">
        <v>0.86979166666666663</v>
      </c>
      <c r="C416" s="2"/>
      <c r="D416" s="1" t="s">
        <v>228</v>
      </c>
      <c r="F416" s="1" t="s">
        <v>51</v>
      </c>
      <c r="G416" s="1" t="s">
        <v>52</v>
      </c>
    </row>
    <row r="417" spans="1:8" x14ac:dyDescent="0.3">
      <c r="A417" s="1">
        <v>416</v>
      </c>
      <c r="B417" s="2">
        <v>0.86979166666666663</v>
      </c>
      <c r="C417" s="2"/>
      <c r="D417" s="1" t="s">
        <v>229</v>
      </c>
      <c r="F417" s="1" t="s">
        <v>51</v>
      </c>
      <c r="G417" s="1" t="s">
        <v>52</v>
      </c>
    </row>
    <row r="418" spans="1:8" x14ac:dyDescent="0.3">
      <c r="A418" s="1">
        <v>417</v>
      </c>
      <c r="B418" s="2">
        <v>0.86805555555555558</v>
      </c>
      <c r="C418" s="2"/>
      <c r="D418" s="1" t="s">
        <v>229</v>
      </c>
      <c r="F418" s="1" t="s">
        <v>51</v>
      </c>
      <c r="G418" s="1" t="s">
        <v>52</v>
      </c>
    </row>
    <row r="419" spans="1:8" x14ac:dyDescent="0.3">
      <c r="A419" s="1">
        <v>418</v>
      </c>
      <c r="B419" s="2">
        <v>0.15972222222222221</v>
      </c>
      <c r="C419" s="2"/>
      <c r="D419" s="1" t="s">
        <v>230</v>
      </c>
      <c r="F419" s="1" t="s">
        <v>127</v>
      </c>
      <c r="G419" s="1" t="s">
        <v>125</v>
      </c>
      <c r="H419" s="1" t="s">
        <v>231</v>
      </c>
    </row>
    <row r="420" spans="1:8" x14ac:dyDescent="0.3">
      <c r="A420" s="1">
        <v>419</v>
      </c>
      <c r="B420" s="2">
        <v>0.16666666666666666</v>
      </c>
      <c r="C420" s="2"/>
      <c r="D420" s="1" t="s">
        <v>230</v>
      </c>
      <c r="F420" s="1" t="s">
        <v>127</v>
      </c>
      <c r="G420" s="1" t="s">
        <v>231</v>
      </c>
    </row>
    <row r="421" spans="1:8" x14ac:dyDescent="0.3">
      <c r="A421" s="1">
        <v>420</v>
      </c>
      <c r="B421" s="2">
        <v>0.16666666666666666</v>
      </c>
      <c r="C421" s="2"/>
      <c r="D421" s="1" t="s">
        <v>171</v>
      </c>
      <c r="F421" s="1" t="s">
        <v>127</v>
      </c>
      <c r="G421" s="1" t="s">
        <v>231</v>
      </c>
    </row>
    <row r="422" spans="1:8" x14ac:dyDescent="0.3">
      <c r="A422" s="1">
        <v>421</v>
      </c>
      <c r="B422" s="2">
        <v>0.18055555555555555</v>
      </c>
      <c r="C422" s="2"/>
      <c r="D422" s="1" t="s">
        <v>171</v>
      </c>
      <c r="F422" s="1" t="s">
        <v>127</v>
      </c>
      <c r="G422" s="1" t="s">
        <v>231</v>
      </c>
    </row>
    <row r="423" spans="1:8" x14ac:dyDescent="0.3">
      <c r="A423" s="1">
        <v>422</v>
      </c>
      <c r="B423" s="2">
        <v>0.18055555555555555</v>
      </c>
      <c r="C423" s="2"/>
      <c r="D423" s="1" t="s">
        <v>232</v>
      </c>
      <c r="F423" s="1" t="s">
        <v>127</v>
      </c>
      <c r="G423" s="1" t="s">
        <v>231</v>
      </c>
    </row>
    <row r="424" spans="1:8" x14ac:dyDescent="0.3">
      <c r="A424" s="1">
        <v>423</v>
      </c>
      <c r="B424" s="2">
        <v>0.19097222222222221</v>
      </c>
      <c r="C424" s="2"/>
      <c r="D424" s="1" t="s">
        <v>232</v>
      </c>
      <c r="F424" s="1" t="s">
        <v>127</v>
      </c>
      <c r="G424" s="1" t="s">
        <v>231</v>
      </c>
    </row>
    <row r="425" spans="1:8" x14ac:dyDescent="0.3">
      <c r="A425" s="1">
        <v>424</v>
      </c>
      <c r="B425" s="2">
        <v>0.19097222222222221</v>
      </c>
      <c r="C425" s="2"/>
      <c r="D425" s="1" t="s">
        <v>41</v>
      </c>
      <c r="F425" s="1" t="s">
        <v>127</v>
      </c>
      <c r="G425" s="1" t="s">
        <v>233</v>
      </c>
      <c r="H425" s="1" t="s">
        <v>231</v>
      </c>
    </row>
    <row r="426" spans="1:8" x14ac:dyDescent="0.3">
      <c r="A426" s="1">
        <v>425</v>
      </c>
      <c r="B426" s="2">
        <v>0.19097222222222221</v>
      </c>
      <c r="C426" s="2"/>
      <c r="D426" s="1" t="s">
        <v>44</v>
      </c>
      <c r="F426" s="1" t="s">
        <v>127</v>
      </c>
      <c r="G426" s="1" t="s">
        <v>233</v>
      </c>
      <c r="H426" s="1" t="s">
        <v>206</v>
      </c>
    </row>
    <row r="427" spans="1:8" x14ac:dyDescent="0.3">
      <c r="A427" s="1">
        <v>426</v>
      </c>
      <c r="B427" s="2">
        <v>0.27430555555555558</v>
      </c>
      <c r="C427" s="2"/>
      <c r="D427" s="1" t="s">
        <v>44</v>
      </c>
      <c r="F427" s="1" t="s">
        <v>127</v>
      </c>
      <c r="G427" s="1" t="s">
        <v>206</v>
      </c>
      <c r="H427" s="1" t="s">
        <v>180</v>
      </c>
    </row>
    <row r="428" spans="1:8" x14ac:dyDescent="0.3">
      <c r="A428" s="1">
        <v>427</v>
      </c>
      <c r="B428" s="2">
        <v>0.27430555555555558</v>
      </c>
      <c r="C428" s="2"/>
      <c r="D428" s="1" t="s">
        <v>179</v>
      </c>
      <c r="F428" s="1" t="s">
        <v>127</v>
      </c>
      <c r="G428" s="1" t="s">
        <v>128</v>
      </c>
      <c r="H428" s="1" t="s">
        <v>180</v>
      </c>
    </row>
    <row r="429" spans="1:8" x14ac:dyDescent="0.3">
      <c r="A429" s="1">
        <v>428</v>
      </c>
      <c r="B429" s="2">
        <v>0.25</v>
      </c>
      <c r="C429" s="2"/>
      <c r="D429" s="1" t="s">
        <v>179</v>
      </c>
      <c r="F429" s="1" t="s">
        <v>127</v>
      </c>
      <c r="G429" s="1" t="s">
        <v>128</v>
      </c>
    </row>
    <row r="430" spans="1:8" x14ac:dyDescent="0.3">
      <c r="A430" s="1">
        <v>429</v>
      </c>
      <c r="B430" s="2">
        <v>0.25</v>
      </c>
      <c r="C430" s="2"/>
      <c r="D430" s="1" t="s">
        <v>86</v>
      </c>
      <c r="F430" s="1" t="s">
        <v>127</v>
      </c>
      <c r="G430" s="1" t="s">
        <v>128</v>
      </c>
    </row>
    <row r="431" spans="1:8" x14ac:dyDescent="0.3">
      <c r="A431" s="1">
        <v>430</v>
      </c>
      <c r="B431" s="2">
        <v>0.22916666666666666</v>
      </c>
      <c r="C431" s="2"/>
      <c r="D431" s="1" t="s">
        <v>86</v>
      </c>
      <c r="F431" s="1" t="s">
        <v>127</v>
      </c>
      <c r="G431" s="1" t="s">
        <v>128</v>
      </c>
    </row>
    <row r="432" spans="1:8" x14ac:dyDescent="0.3">
      <c r="A432" s="1">
        <v>431</v>
      </c>
      <c r="B432" s="2">
        <v>0.22916666666666666</v>
      </c>
      <c r="C432" s="2"/>
      <c r="D432" s="1" t="s">
        <v>234</v>
      </c>
      <c r="F432" s="1" t="s">
        <v>127</v>
      </c>
      <c r="G432" s="1" t="s">
        <v>128</v>
      </c>
    </row>
    <row r="433" spans="1:7" x14ac:dyDescent="0.3">
      <c r="A433" s="1">
        <v>432</v>
      </c>
      <c r="B433" s="2">
        <v>0.20833333333333334</v>
      </c>
      <c r="C433" s="2"/>
      <c r="D433" s="1" t="s">
        <v>234</v>
      </c>
      <c r="F433" s="1" t="s">
        <v>127</v>
      </c>
      <c r="G433" s="1" t="s">
        <v>128</v>
      </c>
    </row>
    <row r="434" spans="1:7" x14ac:dyDescent="0.3">
      <c r="A434" s="1">
        <v>433</v>
      </c>
      <c r="B434" s="2">
        <v>0.20833333333333334</v>
      </c>
      <c r="C434" s="2"/>
      <c r="D434" s="1" t="s">
        <v>235</v>
      </c>
      <c r="F434" s="1" t="s">
        <v>127</v>
      </c>
      <c r="G434" s="1" t="s">
        <v>128</v>
      </c>
    </row>
    <row r="435" spans="1:7" x14ac:dyDescent="0.3">
      <c r="A435" s="1">
        <v>434</v>
      </c>
      <c r="B435" s="2">
        <v>0.1875</v>
      </c>
      <c r="C435" s="2"/>
      <c r="D435" s="1" t="s">
        <v>235</v>
      </c>
      <c r="F435" s="1" t="s">
        <v>127</v>
      </c>
      <c r="G435" s="1" t="s">
        <v>128</v>
      </c>
    </row>
    <row r="436" spans="1:7" x14ac:dyDescent="0.3">
      <c r="A436" s="1">
        <v>435</v>
      </c>
      <c r="B436" s="2">
        <v>0.1701388888888889</v>
      </c>
      <c r="C436" s="2"/>
      <c r="D436" s="1" t="s">
        <v>126</v>
      </c>
      <c r="F436" s="1" t="s">
        <v>127</v>
      </c>
      <c r="G436" s="1" t="s">
        <v>125</v>
      </c>
    </row>
    <row r="437" spans="1:7" x14ac:dyDescent="0.3">
      <c r="A437" s="1">
        <v>436</v>
      </c>
      <c r="B437" s="2">
        <v>0.1701388888888889</v>
      </c>
      <c r="C437" s="2"/>
      <c r="D437" s="1" t="s">
        <v>236</v>
      </c>
      <c r="F437" s="1" t="s">
        <v>127</v>
      </c>
      <c r="G437" s="1" t="s">
        <v>125</v>
      </c>
    </row>
    <row r="438" spans="1:7" x14ac:dyDescent="0.3">
      <c r="A438" s="1">
        <v>437</v>
      </c>
      <c r="B438" s="2">
        <v>0.15972222222222221</v>
      </c>
      <c r="C438" s="2"/>
      <c r="D438" s="1" t="s">
        <v>236</v>
      </c>
      <c r="F438" s="1" t="s">
        <v>127</v>
      </c>
      <c r="G438" s="1" t="s">
        <v>125</v>
      </c>
    </row>
    <row r="439" spans="1:7" x14ac:dyDescent="0.3">
      <c r="A439" s="1">
        <v>438</v>
      </c>
      <c r="B439" s="2">
        <v>0.54166666666666663</v>
      </c>
      <c r="C439" s="2"/>
      <c r="D439" s="1" t="s">
        <v>237</v>
      </c>
      <c r="F439" s="1" t="s">
        <v>116</v>
      </c>
      <c r="G439" s="1" t="s">
        <v>144</v>
      </c>
    </row>
    <row r="440" spans="1:7" x14ac:dyDescent="0.3">
      <c r="A440" s="1">
        <v>439</v>
      </c>
      <c r="B440" s="2">
        <v>0.58333333333333337</v>
      </c>
      <c r="C440" s="2"/>
      <c r="D440" s="1" t="s">
        <v>237</v>
      </c>
      <c r="F440" s="1" t="s">
        <v>116</v>
      </c>
      <c r="G440" s="1" t="s">
        <v>144</v>
      </c>
    </row>
    <row r="441" spans="1:7" x14ac:dyDescent="0.3">
      <c r="A441" s="1">
        <v>440</v>
      </c>
      <c r="B441" s="2">
        <v>0.58333333333333337</v>
      </c>
      <c r="C441" s="2"/>
      <c r="D441" s="1" t="s">
        <v>184</v>
      </c>
      <c r="F441" s="1" t="s">
        <v>116</v>
      </c>
      <c r="G441" s="1" t="s">
        <v>144</v>
      </c>
    </row>
    <row r="442" spans="1:7" x14ac:dyDescent="0.3">
      <c r="A442" s="1">
        <v>441</v>
      </c>
      <c r="B442" s="2">
        <v>0.65277777777777779</v>
      </c>
      <c r="C442" s="2"/>
      <c r="D442" s="1" t="s">
        <v>184</v>
      </c>
      <c r="F442" s="1" t="s">
        <v>116</v>
      </c>
      <c r="G442" s="1" t="s">
        <v>144</v>
      </c>
    </row>
    <row r="443" spans="1:7" x14ac:dyDescent="0.3">
      <c r="A443" s="1">
        <v>442</v>
      </c>
      <c r="B443" s="2">
        <v>0.65277777777777779</v>
      </c>
      <c r="C443" s="2"/>
      <c r="D443" s="1" t="s">
        <v>237</v>
      </c>
      <c r="F443" s="1" t="s">
        <v>116</v>
      </c>
      <c r="G443" s="1" t="s">
        <v>144</v>
      </c>
    </row>
    <row r="444" spans="1:7" x14ac:dyDescent="0.3">
      <c r="A444" s="1">
        <v>443</v>
      </c>
      <c r="B444" s="2">
        <v>0.68888888888888888</v>
      </c>
      <c r="C444" s="2"/>
      <c r="D444" s="1" t="s">
        <v>237</v>
      </c>
      <c r="F444" s="1" t="s">
        <v>116</v>
      </c>
      <c r="G444" s="1" t="s">
        <v>144</v>
      </c>
    </row>
    <row r="445" spans="1:7" x14ac:dyDescent="0.3">
      <c r="A445" s="1">
        <v>444</v>
      </c>
      <c r="B445" s="2">
        <v>0.68888888888888888</v>
      </c>
      <c r="C445" s="2"/>
      <c r="D445" s="1" t="s">
        <v>196</v>
      </c>
      <c r="F445" s="1" t="s">
        <v>116</v>
      </c>
      <c r="G445" s="1" t="s">
        <v>144</v>
      </c>
    </row>
    <row r="446" spans="1:7" x14ac:dyDescent="0.3">
      <c r="A446" s="1">
        <v>445</v>
      </c>
      <c r="B446" s="2">
        <v>0.72916666666666663</v>
      </c>
      <c r="C446" s="2"/>
      <c r="D446" s="1" t="s">
        <v>196</v>
      </c>
      <c r="F446" s="1" t="s">
        <v>116</v>
      </c>
      <c r="G446" s="1" t="s">
        <v>144</v>
      </c>
    </row>
    <row r="447" spans="1:7" x14ac:dyDescent="0.3">
      <c r="A447" s="1">
        <v>446</v>
      </c>
      <c r="B447" s="2">
        <v>0.72916666666666663</v>
      </c>
      <c r="C447" s="2"/>
      <c r="D447" s="1" t="s">
        <v>141</v>
      </c>
      <c r="F447" s="1" t="s">
        <v>116</v>
      </c>
      <c r="G447" s="1" t="s">
        <v>144</v>
      </c>
    </row>
    <row r="448" spans="1:7" x14ac:dyDescent="0.3">
      <c r="A448" s="1">
        <v>447</v>
      </c>
      <c r="B448" s="2">
        <v>0.75</v>
      </c>
      <c r="C448" s="2"/>
      <c r="D448" s="1" t="s">
        <v>141</v>
      </c>
      <c r="F448" s="1" t="s">
        <v>116</v>
      </c>
      <c r="G448" s="1" t="s">
        <v>144</v>
      </c>
    </row>
    <row r="449" spans="1:8" x14ac:dyDescent="0.3">
      <c r="A449" s="1">
        <v>448</v>
      </c>
      <c r="B449" s="2">
        <v>0.75</v>
      </c>
      <c r="C449" s="2"/>
      <c r="D449" s="1" t="s">
        <v>197</v>
      </c>
      <c r="F449" s="1" t="s">
        <v>116</v>
      </c>
      <c r="G449" s="1" t="s">
        <v>144</v>
      </c>
    </row>
    <row r="450" spans="1:8" x14ac:dyDescent="0.3">
      <c r="A450" s="1">
        <v>449</v>
      </c>
      <c r="B450" s="2">
        <v>0.75972222222222219</v>
      </c>
      <c r="C450" s="2"/>
      <c r="D450" s="1" t="s">
        <v>222</v>
      </c>
      <c r="F450" s="1" t="s">
        <v>116</v>
      </c>
      <c r="G450" s="1" t="s">
        <v>68</v>
      </c>
      <c r="H450" s="1" t="s">
        <v>218</v>
      </c>
    </row>
    <row r="451" spans="1:8" x14ac:dyDescent="0.3">
      <c r="A451" s="1">
        <v>450</v>
      </c>
      <c r="B451" s="2">
        <v>0.75972222222222219</v>
      </c>
      <c r="C451" s="2"/>
      <c r="D451" s="1" t="s">
        <v>11</v>
      </c>
      <c r="F451" s="1" t="s">
        <v>116</v>
      </c>
      <c r="G451" s="1" t="s">
        <v>68</v>
      </c>
    </row>
    <row r="452" spans="1:8" x14ac:dyDescent="0.3">
      <c r="A452" s="1">
        <v>451</v>
      </c>
      <c r="B452" s="2">
        <v>0.70833333333333337</v>
      </c>
      <c r="C452" s="2"/>
      <c r="D452" s="1" t="s">
        <v>11</v>
      </c>
      <c r="F452" s="1" t="s">
        <v>116</v>
      </c>
      <c r="G452" s="1" t="s">
        <v>68</v>
      </c>
    </row>
    <row r="453" spans="1:8" x14ac:dyDescent="0.3">
      <c r="A453" s="1">
        <v>452</v>
      </c>
      <c r="B453" s="2">
        <v>0.70833333333333337</v>
      </c>
      <c r="C453" s="2"/>
      <c r="D453" s="1" t="s">
        <v>118</v>
      </c>
      <c r="F453" s="1" t="s">
        <v>116</v>
      </c>
      <c r="G453" s="1" t="s">
        <v>68</v>
      </c>
    </row>
    <row r="454" spans="1:8" x14ac:dyDescent="0.3">
      <c r="A454" s="1">
        <v>453</v>
      </c>
      <c r="B454" s="2">
        <v>0.60069444444444442</v>
      </c>
      <c r="C454" s="2"/>
      <c r="D454" s="1" t="s">
        <v>183</v>
      </c>
      <c r="F454" s="1" t="s">
        <v>116</v>
      </c>
      <c r="G454" s="1" t="s">
        <v>114</v>
      </c>
    </row>
    <row r="455" spans="1:8" x14ac:dyDescent="0.3">
      <c r="A455" s="1">
        <v>454</v>
      </c>
      <c r="B455" s="2">
        <v>0.5625</v>
      </c>
      <c r="C455" s="2"/>
      <c r="D455" s="1" t="s">
        <v>183</v>
      </c>
      <c r="F455" s="1" t="s">
        <v>116</v>
      </c>
      <c r="G455" s="1" t="s">
        <v>114</v>
      </c>
    </row>
    <row r="456" spans="1:8" x14ac:dyDescent="0.3">
      <c r="A456" s="1">
        <v>455</v>
      </c>
      <c r="B456" s="2">
        <v>0.5625</v>
      </c>
      <c r="C456" s="2"/>
      <c r="D456" s="1" t="s">
        <v>238</v>
      </c>
      <c r="F456" s="1" t="s">
        <v>116</v>
      </c>
      <c r="G456" s="1" t="s">
        <v>114</v>
      </c>
    </row>
    <row r="457" spans="1:8" x14ac:dyDescent="0.3">
      <c r="A457" s="1">
        <v>456</v>
      </c>
      <c r="B457" s="2">
        <v>0.5</v>
      </c>
      <c r="C457" s="2"/>
      <c r="D457" s="1" t="s">
        <v>238</v>
      </c>
      <c r="F457" s="1" t="s">
        <v>116</v>
      </c>
      <c r="G457" s="1" t="s">
        <v>114</v>
      </c>
    </row>
    <row r="458" spans="1:8" x14ac:dyDescent="0.3">
      <c r="A458" s="1">
        <v>457</v>
      </c>
      <c r="B458" s="2">
        <v>0.5</v>
      </c>
      <c r="C458" s="2"/>
      <c r="D458" s="1" t="s">
        <v>239</v>
      </c>
      <c r="F458" s="1" t="s">
        <v>116</v>
      </c>
      <c r="G458" s="1" t="s">
        <v>114</v>
      </c>
    </row>
    <row r="459" spans="1:8" x14ac:dyDescent="0.3">
      <c r="A459" s="1">
        <v>458</v>
      </c>
      <c r="B459" s="2">
        <v>0.47222222222222221</v>
      </c>
      <c r="C459" s="2"/>
      <c r="D459" s="1" t="s">
        <v>239</v>
      </c>
      <c r="F459" s="1" t="s">
        <v>116</v>
      </c>
      <c r="G459" s="1" t="s">
        <v>114</v>
      </c>
    </row>
    <row r="460" spans="1:8" x14ac:dyDescent="0.3">
      <c r="A460" s="1">
        <v>459</v>
      </c>
      <c r="B460" s="2">
        <v>0.47222222222222221</v>
      </c>
      <c r="C460" s="2"/>
      <c r="D460" s="1" t="s">
        <v>146</v>
      </c>
      <c r="F460" s="1" t="s">
        <v>116</v>
      </c>
      <c r="G460" s="1" t="s">
        <v>114</v>
      </c>
    </row>
    <row r="461" spans="1:8" x14ac:dyDescent="0.3">
      <c r="A461" s="1">
        <v>460</v>
      </c>
      <c r="B461" s="2">
        <v>0.87986111111111109</v>
      </c>
      <c r="C461" s="2"/>
      <c r="D461" s="1" t="s">
        <v>228</v>
      </c>
      <c r="F461" s="1" t="s">
        <v>52</v>
      </c>
      <c r="G461" s="1" t="s">
        <v>3</v>
      </c>
    </row>
    <row r="462" spans="1:8" x14ac:dyDescent="0.3">
      <c r="A462" s="1">
        <v>461</v>
      </c>
      <c r="B462" s="2">
        <v>0.87986111111111109</v>
      </c>
      <c r="C462" s="2"/>
      <c r="D462" s="1" t="s">
        <v>168</v>
      </c>
      <c r="F462" s="1" t="s">
        <v>52</v>
      </c>
      <c r="G462" s="1" t="s">
        <v>3</v>
      </c>
    </row>
    <row r="463" spans="1:8" x14ac:dyDescent="0.3">
      <c r="A463" s="1">
        <v>462</v>
      </c>
      <c r="B463" s="2">
        <v>0.88888888888888884</v>
      </c>
      <c r="C463" s="2"/>
      <c r="D463" s="1" t="s">
        <v>168</v>
      </c>
      <c r="F463" s="1" t="s">
        <v>52</v>
      </c>
      <c r="G463" s="1" t="s">
        <v>3</v>
      </c>
    </row>
    <row r="464" spans="1:8" x14ac:dyDescent="0.3">
      <c r="A464" s="1">
        <v>463</v>
      </c>
      <c r="B464" s="2">
        <v>0.14930555555555555</v>
      </c>
      <c r="C464" s="2"/>
      <c r="D464" s="1" t="s">
        <v>47</v>
      </c>
      <c r="F464" s="1" t="s">
        <v>124</v>
      </c>
      <c r="G464" s="1" t="s">
        <v>92</v>
      </c>
    </row>
    <row r="465" spans="1:8" x14ac:dyDescent="0.3">
      <c r="A465" s="1">
        <v>464</v>
      </c>
      <c r="B465" s="2">
        <v>0.19236111111111112</v>
      </c>
      <c r="C465" s="2"/>
      <c r="D465" s="1" t="s">
        <v>47</v>
      </c>
      <c r="F465" s="1" t="s">
        <v>124</v>
      </c>
      <c r="G465" s="1" t="s">
        <v>240</v>
      </c>
      <c r="H465" s="1" t="s">
        <v>92</v>
      </c>
    </row>
    <row r="466" spans="1:8" x14ac:dyDescent="0.3">
      <c r="A466" s="1">
        <v>465</v>
      </c>
      <c r="B466" s="2">
        <v>0.19444444444444445</v>
      </c>
      <c r="C466" s="2"/>
      <c r="D466" s="1" t="s">
        <v>47</v>
      </c>
      <c r="F466" s="1" t="s">
        <v>124</v>
      </c>
      <c r="G466" s="1" t="s">
        <v>240</v>
      </c>
    </row>
    <row r="467" spans="1:8" x14ac:dyDescent="0.3">
      <c r="A467" s="1">
        <v>466</v>
      </c>
      <c r="B467" s="2">
        <v>0.19444444444444445</v>
      </c>
      <c r="C467" s="2"/>
      <c r="D467" s="1" t="s">
        <v>55</v>
      </c>
      <c r="F467" s="1" t="s">
        <v>124</v>
      </c>
      <c r="G467" s="1" t="s">
        <v>240</v>
      </c>
    </row>
    <row r="468" spans="1:8" x14ac:dyDescent="0.3">
      <c r="A468" s="1">
        <v>467</v>
      </c>
      <c r="B468" s="2">
        <v>0.21180555555555555</v>
      </c>
      <c r="C468" s="2"/>
      <c r="D468" s="1" t="s">
        <v>55</v>
      </c>
      <c r="F468" s="1" t="s">
        <v>124</v>
      </c>
      <c r="G468" s="1" t="s">
        <v>240</v>
      </c>
    </row>
    <row r="469" spans="1:8" x14ac:dyDescent="0.3">
      <c r="A469" s="1">
        <v>468</v>
      </c>
      <c r="B469" s="2">
        <v>0.21180555555555555</v>
      </c>
      <c r="C469" s="2"/>
      <c r="D469" s="1" t="s">
        <v>161</v>
      </c>
      <c r="F469" s="1" t="s">
        <v>124</v>
      </c>
      <c r="G469" s="1" t="s">
        <v>133</v>
      </c>
      <c r="H469" s="1" t="s">
        <v>240</v>
      </c>
    </row>
    <row r="470" spans="1:8" x14ac:dyDescent="0.3">
      <c r="A470" s="1">
        <v>469</v>
      </c>
      <c r="B470" s="2">
        <v>0.2048611111111111</v>
      </c>
      <c r="C470" s="2"/>
      <c r="D470" s="1" t="s">
        <v>161</v>
      </c>
      <c r="F470" s="1" t="s">
        <v>124</v>
      </c>
      <c r="G470" s="1" t="s">
        <v>133</v>
      </c>
    </row>
    <row r="471" spans="1:8" x14ac:dyDescent="0.3">
      <c r="A471" s="1">
        <v>470</v>
      </c>
      <c r="B471" s="2">
        <v>0.2048611111111111</v>
      </c>
      <c r="C471" s="2"/>
      <c r="D471" s="1" t="s">
        <v>241</v>
      </c>
      <c r="F471" s="1" t="s">
        <v>124</v>
      </c>
      <c r="G471" s="1" t="s">
        <v>133</v>
      </c>
    </row>
    <row r="472" spans="1:8" x14ac:dyDescent="0.3">
      <c r="A472" s="1">
        <v>471</v>
      </c>
      <c r="B472" s="2">
        <v>0.2013888888888889</v>
      </c>
      <c r="C472" s="2"/>
      <c r="D472" s="1" t="s">
        <v>241</v>
      </c>
      <c r="F472" s="1" t="s">
        <v>124</v>
      </c>
      <c r="G472" s="1" t="s">
        <v>133</v>
      </c>
    </row>
    <row r="473" spans="1:8" x14ac:dyDescent="0.3">
      <c r="A473" s="1">
        <v>472</v>
      </c>
      <c r="B473" s="2">
        <v>0.16111111111111112</v>
      </c>
      <c r="C473" s="2"/>
      <c r="D473" s="1" t="s">
        <v>122</v>
      </c>
      <c r="F473" s="1" t="s">
        <v>124</v>
      </c>
      <c r="G473" s="1" t="s">
        <v>125</v>
      </c>
    </row>
    <row r="474" spans="1:8" x14ac:dyDescent="0.3">
      <c r="A474" s="1">
        <v>473</v>
      </c>
      <c r="B474" s="2">
        <v>0.16111111111111112</v>
      </c>
      <c r="C474" s="2"/>
      <c r="D474" s="1" t="s">
        <v>242</v>
      </c>
      <c r="F474" s="1" t="s">
        <v>124</v>
      </c>
      <c r="G474" s="1" t="s">
        <v>125</v>
      </c>
    </row>
    <row r="475" spans="1:8" x14ac:dyDescent="0.3">
      <c r="A475" s="1">
        <v>474</v>
      </c>
      <c r="B475" s="2">
        <v>0.1423611111111111</v>
      </c>
      <c r="C475" s="2"/>
      <c r="D475" s="1" t="s">
        <v>242</v>
      </c>
      <c r="F475" s="1" t="s">
        <v>124</v>
      </c>
      <c r="G475" s="1" t="s">
        <v>125</v>
      </c>
    </row>
    <row r="476" spans="1:8" x14ac:dyDescent="0.3">
      <c r="A476" s="1">
        <v>475</v>
      </c>
      <c r="B476" s="2">
        <v>0.1423611111111111</v>
      </c>
      <c r="C476" s="2"/>
      <c r="D476" s="1" t="s">
        <v>243</v>
      </c>
      <c r="F476" s="1" t="s">
        <v>124</v>
      </c>
      <c r="G476" s="1" t="s">
        <v>125</v>
      </c>
    </row>
    <row r="477" spans="1:8" x14ac:dyDescent="0.3">
      <c r="A477" s="1">
        <v>476</v>
      </c>
      <c r="B477" s="2">
        <v>0.125</v>
      </c>
      <c r="C477" s="2"/>
      <c r="D477" s="1" t="s">
        <v>243</v>
      </c>
      <c r="F477" s="1" t="s">
        <v>124</v>
      </c>
      <c r="G477" s="1" t="s">
        <v>125</v>
      </c>
    </row>
    <row r="478" spans="1:8" x14ac:dyDescent="0.3">
      <c r="A478" s="1">
        <v>477</v>
      </c>
      <c r="B478" s="2">
        <v>0.125</v>
      </c>
      <c r="C478" s="2"/>
      <c r="D478" s="1" t="s">
        <v>126</v>
      </c>
      <c r="F478" s="1" t="s">
        <v>124</v>
      </c>
      <c r="G478" s="1" t="s">
        <v>125</v>
      </c>
    </row>
    <row r="479" spans="1:8" x14ac:dyDescent="0.3">
      <c r="A479" s="1">
        <v>478</v>
      </c>
      <c r="B479" s="2">
        <v>0.1111111111111111</v>
      </c>
      <c r="C479" s="2"/>
      <c r="D479" s="1" t="s">
        <v>126</v>
      </c>
      <c r="F479" s="1" t="s">
        <v>124</v>
      </c>
      <c r="G479" s="1" t="s">
        <v>125</v>
      </c>
    </row>
    <row r="480" spans="1:8" x14ac:dyDescent="0.3">
      <c r="A480" s="1">
        <v>479</v>
      </c>
      <c r="B480" s="2">
        <v>0.1111111111111111</v>
      </c>
      <c r="C480" s="2"/>
      <c r="D480" s="1" t="s">
        <v>236</v>
      </c>
      <c r="F480" s="1" t="s">
        <v>124</v>
      </c>
      <c r="G480" s="1" t="s">
        <v>125</v>
      </c>
    </row>
    <row r="481" spans="1:9" x14ac:dyDescent="0.3">
      <c r="A481" s="1">
        <v>480</v>
      </c>
      <c r="B481" s="2">
        <v>0.10069444444444445</v>
      </c>
      <c r="C481" s="2"/>
      <c r="D481" s="1" t="s">
        <v>236</v>
      </c>
      <c r="F481" s="1" t="s">
        <v>124</v>
      </c>
      <c r="G481" s="1" t="s">
        <v>125</v>
      </c>
    </row>
    <row r="482" spans="1:9" x14ac:dyDescent="0.3">
      <c r="A482" s="1">
        <v>481</v>
      </c>
      <c r="B482" s="2">
        <v>0.10069444444444445</v>
      </c>
      <c r="C482" s="2"/>
      <c r="D482" s="1" t="s">
        <v>235</v>
      </c>
      <c r="F482" s="1" t="s">
        <v>124</v>
      </c>
      <c r="G482" s="1" t="s">
        <v>125</v>
      </c>
    </row>
    <row r="483" spans="1:9" x14ac:dyDescent="0.3">
      <c r="A483" s="1">
        <v>482</v>
      </c>
      <c r="B483" s="2">
        <v>9.0277777777777776E-2</v>
      </c>
      <c r="C483" s="2"/>
      <c r="D483" s="1" t="s">
        <v>235</v>
      </c>
      <c r="F483" s="1" t="s">
        <v>124</v>
      </c>
      <c r="G483" s="1" t="s">
        <v>125</v>
      </c>
    </row>
    <row r="484" spans="1:9" x14ac:dyDescent="0.3">
      <c r="A484" s="1">
        <v>483</v>
      </c>
      <c r="B484" s="2">
        <v>9.0277777777777776E-2</v>
      </c>
      <c r="C484" s="2"/>
      <c r="D484" s="1" t="s">
        <v>244</v>
      </c>
      <c r="F484" s="1" t="s">
        <v>124</v>
      </c>
      <c r="G484" s="1" t="s">
        <v>125</v>
      </c>
      <c r="H484" s="1" t="s">
        <v>233</v>
      </c>
    </row>
    <row r="485" spans="1:9" x14ac:dyDescent="0.3">
      <c r="A485" s="1">
        <v>484</v>
      </c>
      <c r="B485" s="2">
        <v>5.5555555555555552E-2</v>
      </c>
      <c r="C485" s="2"/>
      <c r="D485" s="1" t="s">
        <v>244</v>
      </c>
      <c r="F485" s="1" t="s">
        <v>124</v>
      </c>
      <c r="G485" s="1" t="s">
        <v>233</v>
      </c>
      <c r="H485" s="1" t="s">
        <v>245</v>
      </c>
      <c r="I485" t="s">
        <v>246</v>
      </c>
    </row>
    <row r="486" spans="1:9" x14ac:dyDescent="0.3">
      <c r="A486" s="1">
        <v>485</v>
      </c>
      <c r="B486" s="2">
        <v>5.5555555555555552E-2</v>
      </c>
      <c r="C486" s="2"/>
      <c r="D486" s="1" t="s">
        <v>247</v>
      </c>
      <c r="F486" s="1" t="s">
        <v>124</v>
      </c>
      <c r="G486" s="1" t="s">
        <v>245</v>
      </c>
    </row>
    <row r="487" spans="1:9" x14ac:dyDescent="0.3">
      <c r="A487" s="1">
        <v>486</v>
      </c>
      <c r="B487" s="2">
        <v>6.5972222222222224E-2</v>
      </c>
      <c r="C487" s="2"/>
      <c r="D487" s="1" t="s">
        <v>247</v>
      </c>
      <c r="F487" s="1" t="s">
        <v>124</v>
      </c>
      <c r="G487" s="1" t="s">
        <v>245</v>
      </c>
    </row>
    <row r="488" spans="1:9" x14ac:dyDescent="0.3">
      <c r="A488" s="1">
        <v>487</v>
      </c>
      <c r="B488" s="2">
        <v>6.5972222222222224E-2</v>
      </c>
      <c r="C488" s="2"/>
      <c r="D488" s="1" t="s">
        <v>248</v>
      </c>
      <c r="F488" s="1" t="s">
        <v>124</v>
      </c>
      <c r="G488" s="1" t="s">
        <v>245</v>
      </c>
    </row>
    <row r="489" spans="1:9" x14ac:dyDescent="0.3">
      <c r="A489" s="1">
        <v>488</v>
      </c>
      <c r="B489" s="2">
        <v>7.6388888888888895E-2</v>
      </c>
      <c r="C489" s="2"/>
      <c r="D489" s="1" t="s">
        <v>248</v>
      </c>
      <c r="F489" s="1" t="s">
        <v>124</v>
      </c>
      <c r="G489" s="1" t="s">
        <v>245</v>
      </c>
    </row>
    <row r="490" spans="1:9" x14ac:dyDescent="0.3">
      <c r="A490" s="1">
        <v>489</v>
      </c>
      <c r="B490" s="2">
        <v>7.6388888888888895E-2</v>
      </c>
      <c r="C490" s="2"/>
      <c r="D490" s="1" t="s">
        <v>249</v>
      </c>
      <c r="F490" s="1" t="s">
        <v>124</v>
      </c>
      <c r="G490" s="1" t="s">
        <v>245</v>
      </c>
    </row>
    <row r="491" spans="1:9" x14ac:dyDescent="0.3">
      <c r="A491" s="1">
        <v>490</v>
      </c>
      <c r="B491" s="2">
        <v>9.7222222222222224E-2</v>
      </c>
      <c r="C491" s="2"/>
      <c r="D491" s="1" t="s">
        <v>249</v>
      </c>
      <c r="F491" s="1" t="s">
        <v>124</v>
      </c>
      <c r="G491" s="1" t="s">
        <v>245</v>
      </c>
    </row>
    <row r="492" spans="1:9" x14ac:dyDescent="0.3">
      <c r="A492" s="1">
        <v>491</v>
      </c>
      <c r="B492" s="2">
        <v>9.7222222222222224E-2</v>
      </c>
      <c r="C492" s="2"/>
      <c r="D492" s="1" t="s">
        <v>122</v>
      </c>
      <c r="F492" s="1" t="s">
        <v>124</v>
      </c>
      <c r="G492" s="1" t="s">
        <v>205</v>
      </c>
      <c r="H492" s="1" t="s">
        <v>245</v>
      </c>
    </row>
    <row r="493" spans="1:9" x14ac:dyDescent="0.3">
      <c r="A493" s="1">
        <v>492</v>
      </c>
      <c r="B493" s="2">
        <v>0.125</v>
      </c>
      <c r="C493" s="2"/>
      <c r="D493" s="1" t="s">
        <v>122</v>
      </c>
      <c r="F493" s="1" t="s">
        <v>124</v>
      </c>
      <c r="G493" s="1" t="s">
        <v>205</v>
      </c>
    </row>
    <row r="494" spans="1:9" x14ac:dyDescent="0.3">
      <c r="A494" s="1">
        <v>493</v>
      </c>
      <c r="B494" s="2">
        <v>0.125</v>
      </c>
      <c r="C494" s="2"/>
      <c r="D494" s="1" t="s">
        <v>250</v>
      </c>
      <c r="F494" s="1" t="s">
        <v>124</v>
      </c>
      <c r="G494" s="1" t="s">
        <v>205</v>
      </c>
    </row>
    <row r="495" spans="1:9" x14ac:dyDescent="0.3">
      <c r="A495" s="1">
        <v>494</v>
      </c>
      <c r="B495" s="2">
        <v>0.14583333333333334</v>
      </c>
      <c r="C495" s="2"/>
      <c r="D495" s="1" t="s">
        <v>250</v>
      </c>
      <c r="F495" s="1" t="s">
        <v>124</v>
      </c>
      <c r="G495" s="1" t="s">
        <v>205</v>
      </c>
    </row>
    <row r="496" spans="1:9" x14ac:dyDescent="0.3">
      <c r="A496" s="1">
        <v>495</v>
      </c>
      <c r="B496" s="2">
        <v>0.14583333333333334</v>
      </c>
      <c r="C496" s="2"/>
      <c r="D496" s="1" t="s">
        <v>251</v>
      </c>
      <c r="F496" s="1" t="s">
        <v>124</v>
      </c>
      <c r="G496" s="1" t="s">
        <v>205</v>
      </c>
    </row>
    <row r="497" spans="1:8" x14ac:dyDescent="0.3">
      <c r="A497" s="1">
        <v>496</v>
      </c>
      <c r="B497" s="2">
        <v>0.15625</v>
      </c>
      <c r="C497" s="2"/>
      <c r="D497" s="1" t="s">
        <v>251</v>
      </c>
      <c r="F497" s="1" t="s">
        <v>124</v>
      </c>
      <c r="G497" s="1" t="s">
        <v>205</v>
      </c>
    </row>
    <row r="498" spans="1:8" x14ac:dyDescent="0.3">
      <c r="A498" s="1">
        <v>497</v>
      </c>
      <c r="B498" s="2">
        <v>0.15625</v>
      </c>
      <c r="C498" s="2"/>
      <c r="D498" s="1" t="s">
        <v>204</v>
      </c>
      <c r="F498" s="1" t="s">
        <v>124</v>
      </c>
      <c r="G498" s="1" t="s">
        <v>205</v>
      </c>
    </row>
    <row r="499" spans="1:8" x14ac:dyDescent="0.3">
      <c r="A499" s="1">
        <v>498</v>
      </c>
      <c r="B499" s="2">
        <v>0.14930555555555555</v>
      </c>
      <c r="C499" s="2"/>
      <c r="D499" s="1" t="s">
        <v>203</v>
      </c>
      <c r="F499" s="1" t="s">
        <v>124</v>
      </c>
      <c r="G499" s="1" t="s">
        <v>92</v>
      </c>
    </row>
    <row r="500" spans="1:8" x14ac:dyDescent="0.3">
      <c r="A500" s="1">
        <v>499</v>
      </c>
      <c r="B500" s="2">
        <v>6.9444444444444448E-2</v>
      </c>
      <c r="C500" s="2"/>
      <c r="D500" s="1" t="s">
        <v>122</v>
      </c>
      <c r="F500" s="1" t="s">
        <v>205</v>
      </c>
      <c r="G500" s="1" t="s">
        <v>245</v>
      </c>
      <c r="H500" s="1" t="s">
        <v>59</v>
      </c>
    </row>
    <row r="501" spans="1:8" x14ac:dyDescent="0.3">
      <c r="A501" s="1">
        <v>500</v>
      </c>
      <c r="B501" s="2">
        <v>0.26284722222222223</v>
      </c>
      <c r="C501" s="2"/>
      <c r="D501" s="1" t="s">
        <v>67</v>
      </c>
      <c r="F501" s="1" t="s">
        <v>102</v>
      </c>
      <c r="G501" s="1" t="s">
        <v>163</v>
      </c>
      <c r="H501" s="1" t="s">
        <v>240</v>
      </c>
    </row>
    <row r="502" spans="1:8" x14ac:dyDescent="0.3">
      <c r="A502" s="1">
        <v>501</v>
      </c>
      <c r="B502" s="2">
        <v>0.26284722222222223</v>
      </c>
      <c r="C502" s="2"/>
      <c r="D502" s="1" t="s">
        <v>252</v>
      </c>
      <c r="F502" s="1" t="s">
        <v>102</v>
      </c>
      <c r="G502" s="1" t="s">
        <v>240</v>
      </c>
    </row>
    <row r="503" spans="1:8" x14ac:dyDescent="0.3">
      <c r="A503" s="1">
        <v>502</v>
      </c>
      <c r="B503" s="2">
        <v>0.2590277777777778</v>
      </c>
      <c r="C503" s="2"/>
      <c r="D503" s="1" t="s">
        <v>252</v>
      </c>
      <c r="F503" s="1" t="s">
        <v>102</v>
      </c>
      <c r="G503" s="1" t="s">
        <v>240</v>
      </c>
    </row>
    <row r="504" spans="1:8" x14ac:dyDescent="0.3">
      <c r="A504" s="1">
        <v>503</v>
      </c>
      <c r="B504" s="2">
        <v>0.2590277777777778</v>
      </c>
      <c r="C504" s="2"/>
      <c r="D504" s="1" t="s">
        <v>253</v>
      </c>
      <c r="F504" s="1" t="s">
        <v>102</v>
      </c>
      <c r="G504" s="1" t="s">
        <v>240</v>
      </c>
    </row>
    <row r="505" spans="1:8" x14ac:dyDescent="0.3">
      <c r="A505" s="1">
        <v>504</v>
      </c>
      <c r="B505" s="2">
        <v>0.24513888888888888</v>
      </c>
      <c r="C505" s="2"/>
      <c r="D505" s="1" t="s">
        <v>253</v>
      </c>
      <c r="F505" s="1" t="s">
        <v>102</v>
      </c>
      <c r="G505" s="1" t="s">
        <v>240</v>
      </c>
    </row>
    <row r="506" spans="1:8" x14ac:dyDescent="0.3">
      <c r="A506" s="1">
        <v>505</v>
      </c>
      <c r="B506" s="2">
        <v>0.24513888888888888</v>
      </c>
      <c r="C506" s="2"/>
      <c r="D506" s="1" t="s">
        <v>254</v>
      </c>
      <c r="F506" s="1" t="s">
        <v>102</v>
      </c>
      <c r="G506" s="1" t="s">
        <v>240</v>
      </c>
      <c r="H506" s="1" t="s">
        <v>92</v>
      </c>
    </row>
    <row r="507" spans="1:8" x14ac:dyDescent="0.3">
      <c r="A507" s="1">
        <v>506</v>
      </c>
      <c r="B507" s="2">
        <v>0.32291666666666669</v>
      </c>
      <c r="C507" s="2"/>
      <c r="D507" s="1" t="s">
        <v>101</v>
      </c>
      <c r="F507" s="1" t="s">
        <v>102</v>
      </c>
      <c r="G507" s="1" t="s">
        <v>98</v>
      </c>
    </row>
    <row r="508" spans="1:8" x14ac:dyDescent="0.3">
      <c r="A508" s="1">
        <v>507</v>
      </c>
      <c r="B508" s="2">
        <v>0.32291666666666669</v>
      </c>
      <c r="C508" s="2"/>
      <c r="D508" s="1" t="s">
        <v>156</v>
      </c>
      <c r="F508" s="1" t="s">
        <v>102</v>
      </c>
      <c r="G508" s="1" t="s">
        <v>98</v>
      </c>
    </row>
    <row r="509" spans="1:8" x14ac:dyDescent="0.3">
      <c r="A509" s="1">
        <v>508</v>
      </c>
      <c r="B509" s="2">
        <v>0.28888888888888886</v>
      </c>
      <c r="C509" s="2"/>
      <c r="D509" s="1" t="s">
        <v>153</v>
      </c>
      <c r="F509" s="1" t="s">
        <v>102</v>
      </c>
      <c r="G509" s="1" t="s">
        <v>163</v>
      </c>
    </row>
    <row r="510" spans="1:8" x14ac:dyDescent="0.3">
      <c r="A510" s="1">
        <v>509</v>
      </c>
      <c r="B510" s="2">
        <v>0.28888888888888886</v>
      </c>
      <c r="C510" s="2"/>
      <c r="D510" s="1" t="s">
        <v>67</v>
      </c>
      <c r="F510" s="1" t="s">
        <v>102</v>
      </c>
      <c r="G510" s="1" t="s">
        <v>163</v>
      </c>
    </row>
    <row r="511" spans="1:8" x14ac:dyDescent="0.3">
      <c r="A511" s="1">
        <v>510</v>
      </c>
      <c r="B511" s="2">
        <v>0.88888888888888884</v>
      </c>
      <c r="C511" s="2"/>
      <c r="D511" s="1" t="s">
        <v>135</v>
      </c>
      <c r="F511" s="1" t="s">
        <v>255</v>
      </c>
      <c r="G511" s="1" t="s">
        <v>170</v>
      </c>
      <c r="H511" s="1" t="s">
        <v>60</v>
      </c>
    </row>
    <row r="512" spans="1:8" x14ac:dyDescent="0.3">
      <c r="A512" s="1">
        <v>511</v>
      </c>
      <c r="B512" s="2">
        <v>0.88888888888888884</v>
      </c>
      <c r="C512" s="2"/>
      <c r="D512" s="1" t="s">
        <v>79</v>
      </c>
      <c r="F512" s="1" t="s">
        <v>255</v>
      </c>
      <c r="G512" s="1" t="s">
        <v>256</v>
      </c>
      <c r="H512" s="1" t="s">
        <v>170</v>
      </c>
    </row>
    <row r="513" spans="1:8" x14ac:dyDescent="0.3">
      <c r="A513" s="1">
        <v>512</v>
      </c>
      <c r="B513" s="2">
        <v>0.88888888888888884</v>
      </c>
      <c r="C513" s="2"/>
      <c r="D513" s="1" t="s">
        <v>257</v>
      </c>
      <c r="F513" s="1" t="s">
        <v>255</v>
      </c>
      <c r="G513" s="1" t="s">
        <v>256</v>
      </c>
    </row>
    <row r="514" spans="1:8" x14ac:dyDescent="0.3">
      <c r="A514" s="1">
        <v>513</v>
      </c>
      <c r="B514" s="2">
        <v>0.91666666666666663</v>
      </c>
      <c r="C514" s="2"/>
      <c r="D514" s="1" t="s">
        <v>257</v>
      </c>
      <c r="F514" s="1" t="s">
        <v>255</v>
      </c>
      <c r="G514" s="1" t="s">
        <v>256</v>
      </c>
    </row>
    <row r="515" spans="1:8" x14ac:dyDescent="0.3">
      <c r="A515" s="1">
        <v>514</v>
      </c>
      <c r="B515" s="2">
        <v>0.91666666666666663</v>
      </c>
      <c r="C515" s="2"/>
      <c r="D515" s="1" t="s">
        <v>83</v>
      </c>
      <c r="F515" s="1" t="s">
        <v>255</v>
      </c>
      <c r="G515" s="1" t="s">
        <v>256</v>
      </c>
      <c r="H515" s="1" t="s">
        <v>246</v>
      </c>
    </row>
    <row r="516" spans="1:8" x14ac:dyDescent="0.3">
      <c r="A516" s="1">
        <v>515</v>
      </c>
      <c r="B516" s="2">
        <v>0.97222222222222221</v>
      </c>
      <c r="C516" s="2"/>
      <c r="D516" s="1" t="s">
        <v>83</v>
      </c>
      <c r="F516" s="1" t="s">
        <v>255</v>
      </c>
      <c r="G516" s="1" t="s">
        <v>245</v>
      </c>
      <c r="H516" s="1" t="s">
        <v>246</v>
      </c>
    </row>
    <row r="517" spans="1:8" x14ac:dyDescent="0.3">
      <c r="A517" s="1">
        <v>516</v>
      </c>
      <c r="B517" s="2">
        <v>0.97222222222222221</v>
      </c>
      <c r="C517" s="2"/>
      <c r="D517" s="1" t="s">
        <v>122</v>
      </c>
      <c r="F517" s="1" t="s">
        <v>255</v>
      </c>
      <c r="G517" s="1" t="s">
        <v>245</v>
      </c>
      <c r="H517" s="1" t="s">
        <v>59</v>
      </c>
    </row>
    <row r="518" spans="1:8" x14ac:dyDescent="0.3">
      <c r="A518" s="1">
        <v>517</v>
      </c>
      <c r="B518" s="2">
        <v>0.97222222222222221</v>
      </c>
      <c r="C518" s="2"/>
      <c r="D518" s="1" t="s">
        <v>135</v>
      </c>
      <c r="F518" s="1" t="s">
        <v>255</v>
      </c>
      <c r="G518" s="1" t="s">
        <v>59</v>
      </c>
    </row>
    <row r="519" spans="1:8" x14ac:dyDescent="0.3">
      <c r="A519" s="1">
        <v>518</v>
      </c>
      <c r="B519" s="2">
        <v>0.95833333333333337</v>
      </c>
      <c r="C519" s="2"/>
      <c r="D519" s="1" t="s">
        <v>135</v>
      </c>
      <c r="F519" s="1" t="s">
        <v>255</v>
      </c>
      <c r="G519" s="1" t="s">
        <v>60</v>
      </c>
      <c r="H519" s="1" t="s">
        <v>59</v>
      </c>
    </row>
    <row r="520" spans="1:8" x14ac:dyDescent="0.3">
      <c r="A520" s="1">
        <v>519</v>
      </c>
      <c r="B520" s="2">
        <v>0.67777777777777781</v>
      </c>
      <c r="C520" s="2"/>
      <c r="D520" s="1" t="s">
        <v>258</v>
      </c>
      <c r="F520" s="1" t="s">
        <v>68</v>
      </c>
      <c r="G520" s="1" t="s">
        <v>66</v>
      </c>
      <c r="H520" s="1" t="s">
        <v>107</v>
      </c>
    </row>
    <row r="521" spans="1:8" x14ac:dyDescent="0.3">
      <c r="A521" s="1">
        <v>520</v>
      </c>
      <c r="B521" s="2">
        <v>0.67013888888888884</v>
      </c>
      <c r="C521" s="2"/>
      <c r="D521" s="1" t="s">
        <v>258</v>
      </c>
      <c r="F521" s="1" t="s">
        <v>68</v>
      </c>
      <c r="G521" s="1" t="s">
        <v>107</v>
      </c>
    </row>
    <row r="522" spans="1:8" x14ac:dyDescent="0.3">
      <c r="A522" s="1">
        <v>521</v>
      </c>
      <c r="B522" s="2">
        <v>0.67013888888888884</v>
      </c>
      <c r="C522" s="2"/>
      <c r="D522" s="1" t="s">
        <v>259</v>
      </c>
      <c r="F522" s="1" t="s">
        <v>68</v>
      </c>
      <c r="G522" s="1" t="s">
        <v>107</v>
      </c>
    </row>
    <row r="523" spans="1:8" x14ac:dyDescent="0.3">
      <c r="A523" s="1">
        <v>522</v>
      </c>
      <c r="B523" s="2">
        <v>0.66319444444444442</v>
      </c>
      <c r="C523" s="2"/>
      <c r="D523" s="1" t="s">
        <v>259</v>
      </c>
      <c r="F523" s="1" t="s">
        <v>68</v>
      </c>
      <c r="G523" s="1" t="s">
        <v>107</v>
      </c>
    </row>
    <row r="524" spans="1:8" x14ac:dyDescent="0.3">
      <c r="A524" s="1">
        <v>523</v>
      </c>
      <c r="B524" s="2">
        <v>0.66319444444444442</v>
      </c>
      <c r="C524" s="2"/>
      <c r="D524" s="1" t="s">
        <v>19</v>
      </c>
      <c r="F524" s="1" t="s">
        <v>68</v>
      </c>
      <c r="G524" s="1" t="s">
        <v>107</v>
      </c>
    </row>
    <row r="525" spans="1:8" x14ac:dyDescent="0.3">
      <c r="A525" s="1">
        <v>524</v>
      </c>
      <c r="B525" s="2">
        <v>0.66805555555555551</v>
      </c>
      <c r="C525" s="2"/>
      <c r="D525" s="1" t="s">
        <v>19</v>
      </c>
      <c r="F525" s="1" t="s">
        <v>68</v>
      </c>
      <c r="G525" s="1" t="s">
        <v>107</v>
      </c>
    </row>
    <row r="526" spans="1:8" x14ac:dyDescent="0.3">
      <c r="A526" s="1">
        <v>525</v>
      </c>
      <c r="B526" s="2">
        <v>0.7572916666666667</v>
      </c>
      <c r="C526" s="2"/>
      <c r="D526" s="1" t="s">
        <v>222</v>
      </c>
      <c r="F526" s="1" t="s">
        <v>68</v>
      </c>
      <c r="G526" s="1" t="s">
        <v>218</v>
      </c>
    </row>
    <row r="527" spans="1:8" x14ac:dyDescent="0.3">
      <c r="A527" s="1">
        <v>526</v>
      </c>
      <c r="B527" s="2">
        <v>0.7572916666666667</v>
      </c>
      <c r="C527" s="2"/>
      <c r="D527" s="1" t="s">
        <v>104</v>
      </c>
      <c r="F527" s="1" t="s">
        <v>68</v>
      </c>
      <c r="G527" s="1" t="s">
        <v>218</v>
      </c>
    </row>
    <row r="528" spans="1:8" x14ac:dyDescent="0.3">
      <c r="A528" s="1">
        <v>527</v>
      </c>
      <c r="B528" s="2">
        <v>0.76527777777777772</v>
      </c>
      <c r="C528" s="2"/>
      <c r="D528" s="1" t="s">
        <v>104</v>
      </c>
      <c r="F528" s="1" t="s">
        <v>68</v>
      </c>
      <c r="G528" s="1" t="s">
        <v>218</v>
      </c>
    </row>
    <row r="529" spans="1:8" x14ac:dyDescent="0.3">
      <c r="A529" s="1">
        <v>528</v>
      </c>
      <c r="B529" s="2">
        <v>0.76527777777777772</v>
      </c>
      <c r="C529" s="2"/>
      <c r="D529" s="1" t="s">
        <v>121</v>
      </c>
      <c r="F529" s="1" t="s">
        <v>68</v>
      </c>
      <c r="G529" s="1" t="s">
        <v>218</v>
      </c>
    </row>
    <row r="530" spans="1:8" x14ac:dyDescent="0.3">
      <c r="A530" s="1">
        <v>529</v>
      </c>
      <c r="B530" s="2">
        <v>0.78611111111111109</v>
      </c>
      <c r="C530" s="2"/>
      <c r="D530" s="1" t="s">
        <v>121</v>
      </c>
      <c r="F530" s="1" t="s">
        <v>68</v>
      </c>
      <c r="G530" s="1" t="s">
        <v>218</v>
      </c>
    </row>
    <row r="531" spans="1:8" x14ac:dyDescent="0.3">
      <c r="A531" s="1">
        <v>530</v>
      </c>
      <c r="B531" s="2">
        <v>0.78611111111111109</v>
      </c>
      <c r="C531" s="2"/>
      <c r="D531" s="1" t="s">
        <v>260</v>
      </c>
      <c r="F531" s="1" t="s">
        <v>68</v>
      </c>
      <c r="G531" s="1" t="s">
        <v>218</v>
      </c>
      <c r="H531" s="1" t="s">
        <v>219</v>
      </c>
    </row>
    <row r="532" spans="1:8" x14ac:dyDescent="0.3">
      <c r="A532" s="1">
        <v>531</v>
      </c>
      <c r="B532" s="2">
        <v>0.78611111111111109</v>
      </c>
      <c r="C532" s="2"/>
      <c r="D532" s="1" t="s">
        <v>261</v>
      </c>
      <c r="F532" s="1" t="s">
        <v>68</v>
      </c>
      <c r="G532" s="1" t="s">
        <v>70</v>
      </c>
      <c r="H532" s="1" t="s">
        <v>219</v>
      </c>
    </row>
    <row r="533" spans="1:8" x14ac:dyDescent="0.3">
      <c r="A533" s="1">
        <v>532</v>
      </c>
      <c r="B533" s="2">
        <v>0.76041666666666663</v>
      </c>
      <c r="C533" s="2"/>
      <c r="D533" s="1" t="s">
        <v>67</v>
      </c>
      <c r="F533" s="1" t="s">
        <v>68</v>
      </c>
      <c r="G533" s="1" t="s">
        <v>66</v>
      </c>
    </row>
    <row r="534" spans="1:8" x14ac:dyDescent="0.3">
      <c r="A534" s="1">
        <v>533</v>
      </c>
      <c r="B534" s="2">
        <v>0.76041666666666663</v>
      </c>
      <c r="C534" s="2"/>
      <c r="D534" s="1" t="s">
        <v>262</v>
      </c>
      <c r="F534" s="1" t="s">
        <v>68</v>
      </c>
      <c r="G534" s="1" t="s">
        <v>66</v>
      </c>
    </row>
    <row r="535" spans="1:8" x14ac:dyDescent="0.3">
      <c r="A535" s="1">
        <v>534</v>
      </c>
      <c r="B535" s="2">
        <v>0.71875</v>
      </c>
      <c r="C535" s="2"/>
      <c r="D535" s="1" t="s">
        <v>262</v>
      </c>
      <c r="F535" s="1" t="s">
        <v>68</v>
      </c>
      <c r="G535" s="1" t="s">
        <v>66</v>
      </c>
    </row>
    <row r="536" spans="1:8" x14ac:dyDescent="0.3">
      <c r="A536" s="1">
        <v>535</v>
      </c>
      <c r="B536" s="2">
        <v>0.71875</v>
      </c>
      <c r="C536" s="2"/>
      <c r="D536" s="1" t="s">
        <v>263</v>
      </c>
      <c r="F536" s="1" t="s">
        <v>68</v>
      </c>
      <c r="G536" s="1" t="s">
        <v>66</v>
      </c>
    </row>
    <row r="537" spans="1:8" x14ac:dyDescent="0.3">
      <c r="A537" s="1">
        <v>536</v>
      </c>
      <c r="B537" s="2">
        <v>0.69791666666666663</v>
      </c>
      <c r="C537" s="2"/>
      <c r="D537" s="1" t="s">
        <v>263</v>
      </c>
      <c r="F537" s="1" t="s">
        <v>68</v>
      </c>
      <c r="G537" s="1" t="s">
        <v>66</v>
      </c>
    </row>
    <row r="538" spans="1:8" x14ac:dyDescent="0.3">
      <c r="A538" s="1">
        <v>537</v>
      </c>
      <c r="B538" s="2">
        <v>0.69791666666666663</v>
      </c>
      <c r="C538" s="2"/>
      <c r="D538" s="1" t="s">
        <v>258</v>
      </c>
      <c r="F538" s="1" t="s">
        <v>68</v>
      </c>
      <c r="G538" s="1" t="s">
        <v>66</v>
      </c>
    </row>
    <row r="539" spans="1:8" x14ac:dyDescent="0.3">
      <c r="A539" s="1">
        <v>538</v>
      </c>
      <c r="B539" s="2">
        <v>0.14583333333333334</v>
      </c>
      <c r="C539" s="2"/>
      <c r="D539" s="1" t="s">
        <v>230</v>
      </c>
      <c r="F539" s="1" t="s">
        <v>125</v>
      </c>
      <c r="G539" s="1" t="s">
        <v>231</v>
      </c>
    </row>
    <row r="540" spans="1:8" x14ac:dyDescent="0.3">
      <c r="A540" s="1">
        <v>539</v>
      </c>
      <c r="B540" s="2">
        <v>0.14583333333333334</v>
      </c>
      <c r="C540" s="2"/>
      <c r="D540" s="1" t="s">
        <v>234</v>
      </c>
      <c r="F540" s="1" t="s">
        <v>125</v>
      </c>
      <c r="G540" s="1" t="s">
        <v>231</v>
      </c>
    </row>
    <row r="541" spans="1:8" x14ac:dyDescent="0.3">
      <c r="A541" s="1">
        <v>540</v>
      </c>
      <c r="B541" s="2">
        <v>0.13333333333333333</v>
      </c>
      <c r="C541" s="2"/>
      <c r="D541" s="1" t="s">
        <v>234</v>
      </c>
      <c r="F541" s="1" t="s">
        <v>125</v>
      </c>
      <c r="G541" s="1" t="s">
        <v>231</v>
      </c>
    </row>
    <row r="542" spans="1:8" x14ac:dyDescent="0.3">
      <c r="A542" s="1">
        <v>541</v>
      </c>
      <c r="B542" s="2">
        <v>0.13333333333333333</v>
      </c>
      <c r="C542" s="2"/>
      <c r="D542" s="1" t="s">
        <v>41</v>
      </c>
      <c r="F542" s="1" t="s">
        <v>125</v>
      </c>
      <c r="G542" s="1" t="s">
        <v>233</v>
      </c>
      <c r="H542" s="1" t="s">
        <v>231</v>
      </c>
    </row>
    <row r="543" spans="1:8" x14ac:dyDescent="0.3">
      <c r="A543" s="1">
        <v>542</v>
      </c>
      <c r="B543" s="2">
        <v>9.0277777777777776E-2</v>
      </c>
      <c r="C543" s="2"/>
      <c r="D543" s="1" t="s">
        <v>41</v>
      </c>
      <c r="F543" s="1" t="s">
        <v>125</v>
      </c>
      <c r="G543" s="1" t="s">
        <v>233</v>
      </c>
    </row>
    <row r="544" spans="1:8" x14ac:dyDescent="0.3">
      <c r="A544" s="1">
        <v>543</v>
      </c>
      <c r="B544" s="2">
        <v>0.39930555555555558</v>
      </c>
      <c r="C544" s="2"/>
      <c r="D544" s="1" t="s">
        <v>149</v>
      </c>
      <c r="F544" s="1" t="s">
        <v>25</v>
      </c>
      <c r="G544" s="1" t="s">
        <v>151</v>
      </c>
      <c r="H544" s="1" t="s">
        <v>215</v>
      </c>
    </row>
    <row r="545" spans="1:8" x14ac:dyDescent="0.3">
      <c r="A545" s="1">
        <v>544</v>
      </c>
      <c r="B545" s="2">
        <v>0.39930555555555558</v>
      </c>
      <c r="C545" s="2"/>
      <c r="D545" s="1" t="s">
        <v>47</v>
      </c>
      <c r="F545" s="1" t="s">
        <v>25</v>
      </c>
      <c r="G545" s="1" t="s">
        <v>215</v>
      </c>
    </row>
    <row r="546" spans="1:8" x14ac:dyDescent="0.3">
      <c r="A546" s="1">
        <v>545</v>
      </c>
      <c r="B546" s="2">
        <v>0.39930555555555558</v>
      </c>
      <c r="C546" s="2"/>
      <c r="D546" s="1" t="s">
        <v>161</v>
      </c>
      <c r="F546" s="1" t="s">
        <v>25</v>
      </c>
      <c r="G546" s="1" t="s">
        <v>215</v>
      </c>
    </row>
    <row r="547" spans="1:8" x14ac:dyDescent="0.3">
      <c r="A547" s="1">
        <v>546</v>
      </c>
      <c r="B547" s="2">
        <v>0.59375</v>
      </c>
      <c r="C547" s="2"/>
      <c r="D547" s="1" t="s">
        <v>213</v>
      </c>
      <c r="F547" s="1" t="s">
        <v>25</v>
      </c>
      <c r="G547" s="1" t="s">
        <v>191</v>
      </c>
      <c r="H547" s="1" t="s">
        <v>108</v>
      </c>
    </row>
    <row r="548" spans="1:8" x14ac:dyDescent="0.3">
      <c r="A548" s="1">
        <v>547</v>
      </c>
      <c r="B548" s="2">
        <v>0.59375</v>
      </c>
      <c r="C548" s="2"/>
      <c r="D548" s="1" t="s">
        <v>212</v>
      </c>
      <c r="F548" s="1" t="s">
        <v>25</v>
      </c>
      <c r="G548" s="1" t="s">
        <v>191</v>
      </c>
    </row>
    <row r="549" spans="1:8" x14ac:dyDescent="0.3">
      <c r="A549" s="1">
        <v>548</v>
      </c>
      <c r="B549" s="2">
        <v>0.62152777777777779</v>
      </c>
      <c r="C549" s="2"/>
      <c r="D549" s="1" t="s">
        <v>212</v>
      </c>
      <c r="F549" s="1" t="s">
        <v>25</v>
      </c>
      <c r="G549" s="1" t="s">
        <v>191</v>
      </c>
    </row>
    <row r="550" spans="1:8" x14ac:dyDescent="0.3">
      <c r="A550" s="1">
        <v>549</v>
      </c>
      <c r="B550" s="2">
        <v>0.37847222222222221</v>
      </c>
      <c r="C550" s="2"/>
      <c r="D550" s="1" t="s">
        <v>23</v>
      </c>
      <c r="F550" s="1" t="s">
        <v>25</v>
      </c>
      <c r="G550" s="1" t="s">
        <v>26</v>
      </c>
    </row>
    <row r="551" spans="1:8" x14ac:dyDescent="0.3">
      <c r="A551" s="1">
        <v>550</v>
      </c>
      <c r="B551" s="2">
        <v>0.37847222222222221</v>
      </c>
      <c r="C551" s="2"/>
      <c r="D551" s="1" t="s">
        <v>216</v>
      </c>
      <c r="F551" s="1" t="s">
        <v>25</v>
      </c>
      <c r="G551" s="1" t="s">
        <v>26</v>
      </c>
    </row>
    <row r="552" spans="1:8" x14ac:dyDescent="0.3">
      <c r="A552" s="1">
        <v>551</v>
      </c>
      <c r="B552" s="2">
        <v>0.3576388888888889</v>
      </c>
      <c r="C552" s="2"/>
      <c r="D552" s="1" t="s">
        <v>216</v>
      </c>
      <c r="F552" s="1" t="s">
        <v>25</v>
      </c>
      <c r="G552" s="1" t="s">
        <v>26</v>
      </c>
    </row>
    <row r="553" spans="1:8" x14ac:dyDescent="0.3">
      <c r="A553" s="1">
        <v>552</v>
      </c>
      <c r="B553" s="2">
        <v>0.3576388888888889</v>
      </c>
      <c r="C553" s="2"/>
      <c r="D553" s="1" t="s">
        <v>264</v>
      </c>
      <c r="F553" s="1" t="s">
        <v>25</v>
      </c>
      <c r="G553" s="1" t="s">
        <v>26</v>
      </c>
    </row>
    <row r="554" spans="1:8" x14ac:dyDescent="0.3">
      <c r="A554" s="1">
        <v>553</v>
      </c>
      <c r="B554" s="2">
        <v>0.34861111111111109</v>
      </c>
      <c r="C554" s="2"/>
      <c r="D554" s="1" t="s">
        <v>264</v>
      </c>
      <c r="F554" s="1" t="s">
        <v>25</v>
      </c>
      <c r="G554" s="1" t="s">
        <v>164</v>
      </c>
      <c r="H554" s="1" t="s">
        <v>26</v>
      </c>
    </row>
    <row r="555" spans="1:8" x14ac:dyDescent="0.3">
      <c r="A555" s="1">
        <v>554</v>
      </c>
      <c r="B555" s="2">
        <v>0.34861111111111109</v>
      </c>
      <c r="C555" s="2"/>
      <c r="D555" s="1" t="s">
        <v>161</v>
      </c>
      <c r="F555" s="1" t="s">
        <v>25</v>
      </c>
      <c r="G555" s="1" t="s">
        <v>164</v>
      </c>
    </row>
    <row r="556" spans="1:8" x14ac:dyDescent="0.3">
      <c r="A556" s="1">
        <v>555</v>
      </c>
      <c r="B556" s="2">
        <v>0.33680555555555558</v>
      </c>
      <c r="C556" s="2"/>
      <c r="D556" s="1" t="s">
        <v>161</v>
      </c>
      <c r="F556" s="1" t="s">
        <v>25</v>
      </c>
      <c r="G556" s="1" t="s">
        <v>163</v>
      </c>
      <c r="H556" s="1" t="s">
        <v>164</v>
      </c>
    </row>
    <row r="557" spans="1:8" x14ac:dyDescent="0.3">
      <c r="A557" s="1">
        <v>556</v>
      </c>
      <c r="B557" s="2">
        <v>0.19097222222222221</v>
      </c>
      <c r="C557" s="2"/>
      <c r="D557" s="1" t="s">
        <v>39</v>
      </c>
      <c r="F557" s="1" t="s">
        <v>233</v>
      </c>
      <c r="G557" s="1" t="s">
        <v>206</v>
      </c>
    </row>
    <row r="558" spans="1:8" x14ac:dyDescent="0.3">
      <c r="A558" s="1">
        <v>557</v>
      </c>
      <c r="B558" s="2">
        <v>0.14583333333333334</v>
      </c>
      <c r="C558" s="2"/>
      <c r="D558" s="1" t="s">
        <v>39</v>
      </c>
      <c r="F558" s="1" t="s">
        <v>233</v>
      </c>
      <c r="G558" s="1" t="s">
        <v>206</v>
      </c>
    </row>
    <row r="559" spans="1:8" x14ac:dyDescent="0.3">
      <c r="A559" s="1">
        <v>558</v>
      </c>
      <c r="B559" s="2">
        <v>0.14583333333333334</v>
      </c>
      <c r="C559" s="2"/>
      <c r="D559" s="1" t="s">
        <v>35</v>
      </c>
      <c r="F559" s="1" t="s">
        <v>233</v>
      </c>
      <c r="G559" s="1" t="s">
        <v>206</v>
      </c>
      <c r="H559" s="1" t="s">
        <v>38</v>
      </c>
    </row>
    <row r="560" spans="1:8" x14ac:dyDescent="0.3">
      <c r="A560" s="1">
        <v>559</v>
      </c>
      <c r="B560" s="2">
        <v>0</v>
      </c>
      <c r="C560" s="2"/>
      <c r="D560" s="1" t="s">
        <v>35</v>
      </c>
      <c r="F560" s="1" t="s">
        <v>233</v>
      </c>
      <c r="G560" s="1" t="s">
        <v>38</v>
      </c>
    </row>
    <row r="561" spans="1:9" x14ac:dyDescent="0.3">
      <c r="A561" s="1">
        <v>560</v>
      </c>
      <c r="B561" s="2">
        <v>0</v>
      </c>
      <c r="C561" s="2"/>
      <c r="D561" s="1" t="s">
        <v>39</v>
      </c>
      <c r="F561" s="1" t="s">
        <v>233</v>
      </c>
      <c r="G561" s="1" t="s">
        <v>38</v>
      </c>
      <c r="H561" s="1" t="s">
        <v>246</v>
      </c>
    </row>
    <row r="562" spans="1:9" x14ac:dyDescent="0.3">
      <c r="A562" s="1">
        <v>561</v>
      </c>
      <c r="B562" s="2">
        <v>3.125E-2</v>
      </c>
      <c r="C562" s="2"/>
      <c r="D562" s="1" t="s">
        <v>39</v>
      </c>
      <c r="F562" s="1" t="s">
        <v>233</v>
      </c>
      <c r="G562" s="1" t="s">
        <v>246</v>
      </c>
    </row>
    <row r="563" spans="1:9" x14ac:dyDescent="0.3">
      <c r="A563" s="1">
        <v>562</v>
      </c>
      <c r="B563" s="2">
        <v>3.125E-2</v>
      </c>
      <c r="C563" s="2"/>
      <c r="D563" s="1" t="s">
        <v>265</v>
      </c>
      <c r="F563" s="1" t="s">
        <v>233</v>
      </c>
      <c r="G563" s="1" t="s">
        <v>246</v>
      </c>
    </row>
    <row r="564" spans="1:9" x14ac:dyDescent="0.3">
      <c r="A564" s="1">
        <v>563</v>
      </c>
      <c r="B564" s="2">
        <v>5.5555555555555552E-2</v>
      </c>
      <c r="C564" s="2"/>
      <c r="D564" s="1" t="s">
        <v>265</v>
      </c>
      <c r="F564" s="1" t="s">
        <v>233</v>
      </c>
      <c r="G564" s="1" t="s">
        <v>246</v>
      </c>
    </row>
    <row r="565" spans="1:9" x14ac:dyDescent="0.3">
      <c r="A565" s="1">
        <v>564</v>
      </c>
      <c r="B565" s="2">
        <v>0.88888888888888884</v>
      </c>
      <c r="C565" s="2"/>
      <c r="D565" s="1" t="s">
        <v>39</v>
      </c>
      <c r="F565" s="1" t="s">
        <v>256</v>
      </c>
      <c r="G565" s="1" t="s">
        <v>38</v>
      </c>
      <c r="H565" s="1" t="s">
        <v>40</v>
      </c>
    </row>
    <row r="566" spans="1:9" x14ac:dyDescent="0.3">
      <c r="A566" s="1">
        <v>565</v>
      </c>
      <c r="B566" s="2">
        <v>0.97222222222222221</v>
      </c>
      <c r="C566" s="2"/>
      <c r="D566" s="1" t="s">
        <v>39</v>
      </c>
      <c r="F566" s="1" t="s">
        <v>256</v>
      </c>
      <c r="G566" s="1" t="s">
        <v>38</v>
      </c>
      <c r="H566" s="1" t="s">
        <v>246</v>
      </c>
    </row>
    <row r="567" spans="1:9" x14ac:dyDescent="0.3">
      <c r="A567" s="1">
        <v>566</v>
      </c>
      <c r="B567" s="2">
        <v>0.97222222222222221</v>
      </c>
      <c r="C567" s="2"/>
      <c r="D567" s="1" t="s">
        <v>41</v>
      </c>
      <c r="F567" s="1" t="s">
        <v>256</v>
      </c>
      <c r="G567" s="1" t="s">
        <v>246</v>
      </c>
    </row>
    <row r="568" spans="1:9" x14ac:dyDescent="0.3">
      <c r="A568" s="1">
        <v>567</v>
      </c>
      <c r="B568" s="2">
        <v>0.91666666666666663</v>
      </c>
      <c r="C568" s="2"/>
      <c r="D568" s="1" t="s">
        <v>41</v>
      </c>
      <c r="F568" s="1" t="s">
        <v>256</v>
      </c>
      <c r="G568" s="1" t="s">
        <v>246</v>
      </c>
    </row>
    <row r="569" spans="1:9" x14ac:dyDescent="0.3">
      <c r="A569" s="1">
        <v>568</v>
      </c>
      <c r="B569" s="2">
        <v>0.84722222222222221</v>
      </c>
      <c r="C569" s="2"/>
      <c r="D569" s="1" t="s">
        <v>79</v>
      </c>
      <c r="F569" s="1" t="s">
        <v>256</v>
      </c>
      <c r="G569" s="1" t="s">
        <v>170</v>
      </c>
      <c r="H569" s="1" t="s">
        <v>75</v>
      </c>
      <c r="I569" t="s">
        <v>82</v>
      </c>
    </row>
    <row r="570" spans="1:9" x14ac:dyDescent="0.3">
      <c r="A570" s="1">
        <v>569</v>
      </c>
      <c r="B570" s="2">
        <v>0.84722222222222221</v>
      </c>
      <c r="C570" s="2"/>
      <c r="D570" s="1" t="s">
        <v>83</v>
      </c>
      <c r="F570" s="1" t="s">
        <v>256</v>
      </c>
      <c r="G570" s="1" t="s">
        <v>40</v>
      </c>
      <c r="H570" s="1" t="s">
        <v>82</v>
      </c>
    </row>
    <row r="571" spans="1:9" x14ac:dyDescent="0.3">
      <c r="A571" s="1">
        <v>570</v>
      </c>
      <c r="B571" s="2">
        <v>0.84722222222222221</v>
      </c>
      <c r="C571" s="2"/>
      <c r="D571" s="1" t="s">
        <v>77</v>
      </c>
      <c r="F571" s="1" t="s">
        <v>256</v>
      </c>
      <c r="G571" s="1" t="s">
        <v>40</v>
      </c>
    </row>
    <row r="572" spans="1:9" x14ac:dyDescent="0.3">
      <c r="A572" s="1">
        <v>571</v>
      </c>
      <c r="B572" s="2">
        <v>0.88888888888888884</v>
      </c>
      <c r="C572" s="2"/>
      <c r="D572" s="1" t="s">
        <v>77</v>
      </c>
      <c r="F572" s="1" t="s">
        <v>256</v>
      </c>
      <c r="G572" s="1" t="s">
        <v>40</v>
      </c>
    </row>
    <row r="573" spans="1:9" x14ac:dyDescent="0.3">
      <c r="A573" s="1">
        <v>572</v>
      </c>
      <c r="B573" s="2">
        <v>0.9506944444444444</v>
      </c>
      <c r="C573" s="2"/>
      <c r="D573" s="1" t="s">
        <v>0</v>
      </c>
      <c r="F573" s="1" t="s">
        <v>2</v>
      </c>
      <c r="G573" s="1" t="s">
        <v>3</v>
      </c>
    </row>
    <row r="574" spans="1:9" x14ac:dyDescent="0.3">
      <c r="A574" s="1">
        <v>573</v>
      </c>
      <c r="B574" s="2">
        <v>0.9506944444444444</v>
      </c>
      <c r="C574" s="2"/>
      <c r="D574" s="1" t="s">
        <v>14</v>
      </c>
      <c r="F574" s="1" t="s">
        <v>2</v>
      </c>
      <c r="G574" s="1" t="s">
        <v>3</v>
      </c>
    </row>
    <row r="575" spans="1:9" x14ac:dyDescent="0.3">
      <c r="A575" s="1">
        <v>574</v>
      </c>
      <c r="B575" s="2">
        <v>0.91666666666666663</v>
      </c>
      <c r="C575" s="2"/>
      <c r="D575" s="1" t="s">
        <v>14</v>
      </c>
      <c r="F575" s="1" t="s">
        <v>2</v>
      </c>
      <c r="G575" s="1" t="s">
        <v>3</v>
      </c>
    </row>
    <row r="576" spans="1:9" x14ac:dyDescent="0.3">
      <c r="A576" s="1">
        <v>575</v>
      </c>
      <c r="B576" s="2">
        <v>0.91666666666666663</v>
      </c>
      <c r="C576" s="2"/>
      <c r="D576" s="1" t="s">
        <v>95</v>
      </c>
      <c r="F576" s="1" t="s">
        <v>2</v>
      </c>
      <c r="G576" s="1" t="s">
        <v>3</v>
      </c>
    </row>
    <row r="577" spans="1:8" x14ac:dyDescent="0.3">
      <c r="A577" s="1">
        <v>576</v>
      </c>
      <c r="B577" s="2">
        <v>0.44791666666666669</v>
      </c>
      <c r="C577" s="2"/>
      <c r="D577" s="1" t="s">
        <v>47</v>
      </c>
      <c r="F577" s="1" t="s">
        <v>151</v>
      </c>
      <c r="G577" s="1" t="s">
        <v>215</v>
      </c>
    </row>
    <row r="578" spans="1:8" x14ac:dyDescent="0.3">
      <c r="A578" s="1">
        <v>577</v>
      </c>
      <c r="B578" s="2">
        <v>0.44791666666666669</v>
      </c>
      <c r="C578" s="2"/>
      <c r="D578" s="1" t="s">
        <v>149</v>
      </c>
      <c r="F578" s="1" t="s">
        <v>151</v>
      </c>
      <c r="G578" s="1" t="s">
        <v>215</v>
      </c>
    </row>
    <row r="579" spans="1:8" x14ac:dyDescent="0.3">
      <c r="A579" s="1">
        <v>578</v>
      </c>
      <c r="B579" s="2">
        <v>0.41180555555555554</v>
      </c>
      <c r="C579" s="2"/>
      <c r="D579" s="1" t="s">
        <v>156</v>
      </c>
      <c r="F579" s="1" t="s">
        <v>151</v>
      </c>
      <c r="G579" s="1" t="s">
        <v>157</v>
      </c>
    </row>
    <row r="580" spans="1:8" x14ac:dyDescent="0.3">
      <c r="A580" s="1">
        <v>579</v>
      </c>
      <c r="B580" s="2">
        <v>0.41180555555555554</v>
      </c>
      <c r="C580" s="2"/>
      <c r="D580" s="1" t="s">
        <v>103</v>
      </c>
      <c r="F580" s="1" t="s">
        <v>151</v>
      </c>
      <c r="G580" s="1" t="s">
        <v>157</v>
      </c>
    </row>
    <row r="581" spans="1:8" x14ac:dyDescent="0.3">
      <c r="A581" s="1">
        <v>580</v>
      </c>
      <c r="B581" s="2">
        <v>0.4375</v>
      </c>
      <c r="C581" s="2"/>
      <c r="D581" s="1" t="s">
        <v>103</v>
      </c>
      <c r="F581" s="1" t="s">
        <v>151</v>
      </c>
      <c r="G581" s="1" t="s">
        <v>157</v>
      </c>
    </row>
    <row r="582" spans="1:8" x14ac:dyDescent="0.3">
      <c r="A582" s="1">
        <v>581</v>
      </c>
      <c r="B582" s="2">
        <v>0.4375</v>
      </c>
      <c r="C582" s="2"/>
      <c r="D582" s="1" t="s">
        <v>266</v>
      </c>
      <c r="F582" s="1" t="s">
        <v>151</v>
      </c>
      <c r="G582" s="1" t="s">
        <v>157</v>
      </c>
    </row>
    <row r="583" spans="1:8" x14ac:dyDescent="0.3">
      <c r="A583" s="1">
        <v>582</v>
      </c>
      <c r="B583" s="2">
        <v>0.44791666666666669</v>
      </c>
      <c r="C583" s="2"/>
      <c r="D583" s="1" t="s">
        <v>266</v>
      </c>
      <c r="F583" s="1" t="s">
        <v>151</v>
      </c>
      <c r="G583" s="1" t="s">
        <v>157</v>
      </c>
    </row>
    <row r="584" spans="1:8" x14ac:dyDescent="0.3">
      <c r="A584" s="1">
        <v>583</v>
      </c>
      <c r="B584" s="2">
        <v>0.44791666666666669</v>
      </c>
      <c r="C584" s="2"/>
      <c r="D584" s="1" t="s">
        <v>260</v>
      </c>
      <c r="F584" s="1" t="s">
        <v>151</v>
      </c>
      <c r="G584" s="1" t="s">
        <v>157</v>
      </c>
    </row>
    <row r="585" spans="1:8" x14ac:dyDescent="0.3">
      <c r="A585" s="1">
        <v>584</v>
      </c>
      <c r="B585" s="2">
        <v>0.45833333333333331</v>
      </c>
      <c r="C585" s="2"/>
      <c r="D585" s="1" t="s">
        <v>260</v>
      </c>
      <c r="F585" s="1" t="s">
        <v>151</v>
      </c>
      <c r="G585" s="1" t="s">
        <v>157</v>
      </c>
    </row>
    <row r="586" spans="1:8" x14ac:dyDescent="0.3">
      <c r="A586" s="1">
        <v>585</v>
      </c>
      <c r="B586" s="2">
        <v>0.45833333333333331</v>
      </c>
      <c r="C586" s="2"/>
      <c r="D586" s="1" t="s">
        <v>208</v>
      </c>
      <c r="F586" s="1" t="s">
        <v>151</v>
      </c>
      <c r="G586" s="1" t="s">
        <v>157</v>
      </c>
      <c r="H586" s="1" t="s">
        <v>114</v>
      </c>
    </row>
    <row r="587" spans="1:8" x14ac:dyDescent="0.3">
      <c r="A587" s="1">
        <v>586</v>
      </c>
      <c r="B587" s="2">
        <v>0.49444444444444446</v>
      </c>
      <c r="C587" s="2"/>
      <c r="D587" s="1" t="s">
        <v>267</v>
      </c>
      <c r="F587" s="1" t="s">
        <v>151</v>
      </c>
      <c r="G587" s="1" t="s">
        <v>108</v>
      </c>
    </row>
    <row r="588" spans="1:8" x14ac:dyDescent="0.3">
      <c r="A588" s="1">
        <v>587</v>
      </c>
      <c r="B588" s="2">
        <v>0.47986111111111113</v>
      </c>
      <c r="C588" s="2"/>
      <c r="D588" s="1" t="s">
        <v>267</v>
      </c>
      <c r="F588" s="1" t="s">
        <v>151</v>
      </c>
      <c r="G588" s="1" t="s">
        <v>108</v>
      </c>
    </row>
    <row r="589" spans="1:8" x14ac:dyDescent="0.3">
      <c r="A589" s="1">
        <v>588</v>
      </c>
      <c r="B589" s="2">
        <v>0.47986111111111113</v>
      </c>
      <c r="C589" s="2"/>
      <c r="D589" s="1" t="s">
        <v>47</v>
      </c>
      <c r="F589" s="1" t="s">
        <v>151</v>
      </c>
      <c r="G589" s="1" t="s">
        <v>108</v>
      </c>
    </row>
    <row r="590" spans="1:8" x14ac:dyDescent="0.3">
      <c r="A590" s="1">
        <v>597</v>
      </c>
      <c r="B590" s="2">
        <v>0.24305555555555555</v>
      </c>
      <c r="C590" s="2"/>
      <c r="D590" s="1" t="s">
        <v>161</v>
      </c>
      <c r="F590" s="1" t="s">
        <v>133</v>
      </c>
      <c r="G590" s="1" t="s">
        <v>163</v>
      </c>
      <c r="H590" s="1" t="s">
        <v>240</v>
      </c>
    </row>
    <row r="591" spans="1:8" x14ac:dyDescent="0.3">
      <c r="A591" s="1">
        <v>598</v>
      </c>
      <c r="B591" s="2">
        <v>0.62847222222222221</v>
      </c>
      <c r="C591" s="2"/>
      <c r="D591" s="1" t="s">
        <v>47</v>
      </c>
      <c r="F591" s="1" t="s">
        <v>191</v>
      </c>
      <c r="G591" s="1" t="s">
        <v>107</v>
      </c>
      <c r="H591" s="1" t="s">
        <v>108</v>
      </c>
    </row>
    <row r="592" spans="1:8" x14ac:dyDescent="0.3">
      <c r="A592" s="1">
        <v>599</v>
      </c>
      <c r="B592" s="2">
        <v>0.61111111111111116</v>
      </c>
      <c r="C592" s="2"/>
      <c r="D592" s="1" t="s">
        <v>47</v>
      </c>
      <c r="F592" s="1" t="s">
        <v>191</v>
      </c>
      <c r="G592" s="1" t="s">
        <v>108</v>
      </c>
    </row>
    <row r="593" spans="1:8" x14ac:dyDescent="0.3">
      <c r="A593" s="1">
        <v>600</v>
      </c>
      <c r="B593" s="2">
        <v>0.61111111111111116</v>
      </c>
      <c r="C593" s="2"/>
      <c r="D593" s="1" t="s">
        <v>270</v>
      </c>
      <c r="F593" s="1" t="s">
        <v>191</v>
      </c>
      <c r="G593" s="1" t="s">
        <v>108</v>
      </c>
    </row>
    <row r="594" spans="1:8" x14ac:dyDescent="0.3">
      <c r="A594" s="1">
        <v>601</v>
      </c>
      <c r="B594" s="2">
        <v>0.59375</v>
      </c>
      <c r="C594" s="2"/>
      <c r="D594" s="1" t="s">
        <v>270</v>
      </c>
      <c r="F594" s="1" t="s">
        <v>191</v>
      </c>
      <c r="G594" s="1" t="s">
        <v>108</v>
      </c>
    </row>
    <row r="595" spans="1:8" x14ac:dyDescent="0.3">
      <c r="A595" s="1">
        <v>602</v>
      </c>
      <c r="B595" s="2">
        <v>0.65277777777777779</v>
      </c>
      <c r="C595" s="2"/>
      <c r="D595" s="1" t="s">
        <v>190</v>
      </c>
      <c r="F595" s="1" t="s">
        <v>191</v>
      </c>
      <c r="G595" s="1" t="s">
        <v>188</v>
      </c>
      <c r="H595" s="1" t="s">
        <v>80</v>
      </c>
    </row>
    <row r="596" spans="1:8" x14ac:dyDescent="0.3">
      <c r="A596" s="1">
        <v>603</v>
      </c>
      <c r="B596" s="2">
        <v>0.65277777777777779</v>
      </c>
      <c r="C596" s="2"/>
      <c r="D596" s="1" t="s">
        <v>271</v>
      </c>
      <c r="F596" s="1" t="s">
        <v>191</v>
      </c>
      <c r="G596" s="1" t="s">
        <v>80</v>
      </c>
    </row>
    <row r="597" spans="1:8" x14ac:dyDescent="0.3">
      <c r="A597" s="1">
        <v>604</v>
      </c>
      <c r="B597" s="2">
        <v>0.66319444444444442</v>
      </c>
      <c r="C597" s="2"/>
      <c r="D597" s="1" t="s">
        <v>271</v>
      </c>
      <c r="F597" s="1" t="s">
        <v>191</v>
      </c>
      <c r="G597" s="1" t="s">
        <v>80</v>
      </c>
    </row>
    <row r="598" spans="1:8" x14ac:dyDescent="0.3">
      <c r="A598" s="1">
        <v>605</v>
      </c>
      <c r="B598" s="2">
        <v>0.66319444444444442</v>
      </c>
      <c r="C598" s="2"/>
      <c r="D598" s="1" t="s">
        <v>270</v>
      </c>
      <c r="F598" s="1" t="s">
        <v>191</v>
      </c>
      <c r="G598" s="1" t="s">
        <v>66</v>
      </c>
      <c r="H598" s="1" t="s">
        <v>80</v>
      </c>
    </row>
    <row r="599" spans="1:8" x14ac:dyDescent="0.3">
      <c r="A599" s="1">
        <v>606</v>
      </c>
      <c r="B599" s="2">
        <v>0.66319444444444442</v>
      </c>
      <c r="C599" s="2"/>
      <c r="D599" s="1" t="s">
        <v>272</v>
      </c>
      <c r="F599" s="1" t="s">
        <v>191</v>
      </c>
      <c r="G599" s="1" t="s">
        <v>66</v>
      </c>
      <c r="H599" s="1" t="s">
        <v>107</v>
      </c>
    </row>
    <row r="600" spans="1:8" x14ac:dyDescent="0.3">
      <c r="A600" s="1">
        <v>607</v>
      </c>
      <c r="B600" s="2">
        <v>0.62847222222222221</v>
      </c>
      <c r="C600" s="2"/>
      <c r="D600" s="1" t="s">
        <v>272</v>
      </c>
      <c r="F600" s="1" t="s">
        <v>191</v>
      </c>
      <c r="G600" s="1" t="s">
        <v>107</v>
      </c>
    </row>
    <row r="601" spans="1:8" x14ac:dyDescent="0.3">
      <c r="A601" s="1">
        <v>589</v>
      </c>
      <c r="B601" s="2">
        <v>0.38541666666666669</v>
      </c>
      <c r="C601" s="2"/>
      <c r="D601" s="1" t="s">
        <v>268</v>
      </c>
      <c r="F601" s="1" t="s">
        <v>157</v>
      </c>
      <c r="G601" s="1" t="s">
        <v>98</v>
      </c>
    </row>
    <row r="602" spans="1:8" x14ac:dyDescent="0.3">
      <c r="A602" s="1">
        <v>590</v>
      </c>
      <c r="B602" s="2">
        <v>0.39930555555555558</v>
      </c>
      <c r="C602" s="2"/>
      <c r="D602" s="1" t="s">
        <v>268</v>
      </c>
      <c r="F602" s="1" t="s">
        <v>157</v>
      </c>
      <c r="G602" s="1" t="s">
        <v>98</v>
      </c>
    </row>
    <row r="603" spans="1:8" x14ac:dyDescent="0.3">
      <c r="A603" s="1">
        <v>591</v>
      </c>
      <c r="B603" s="2">
        <v>0.39930555555555558</v>
      </c>
      <c r="C603" s="2"/>
      <c r="D603" s="1" t="s">
        <v>269</v>
      </c>
      <c r="F603" s="1" t="s">
        <v>157</v>
      </c>
      <c r="G603" s="1" t="s">
        <v>98</v>
      </c>
      <c r="H603" s="1" t="s">
        <v>114</v>
      </c>
    </row>
    <row r="604" spans="1:8" x14ac:dyDescent="0.3">
      <c r="A604" s="1">
        <v>592</v>
      </c>
      <c r="B604" s="2">
        <v>0.4236111111111111</v>
      </c>
      <c r="C604" s="2"/>
      <c r="D604" s="1" t="s">
        <v>269</v>
      </c>
      <c r="F604" s="1" t="s">
        <v>157</v>
      </c>
      <c r="G604" s="1" t="s">
        <v>114</v>
      </c>
    </row>
    <row r="605" spans="1:8" x14ac:dyDescent="0.3">
      <c r="A605" s="1">
        <v>593</v>
      </c>
      <c r="B605" s="2">
        <v>0.4236111111111111</v>
      </c>
      <c r="C605" s="2"/>
      <c r="D605" s="1" t="s">
        <v>119</v>
      </c>
      <c r="F605" s="1" t="s">
        <v>157</v>
      </c>
      <c r="G605" s="1" t="s">
        <v>114</v>
      </c>
    </row>
    <row r="606" spans="1:8" x14ac:dyDescent="0.3">
      <c r="A606" s="1">
        <v>594</v>
      </c>
      <c r="B606" s="2">
        <v>0.44930555555555557</v>
      </c>
      <c r="C606" s="2"/>
      <c r="D606" s="1" t="s">
        <v>119</v>
      </c>
      <c r="F606" s="1" t="s">
        <v>157</v>
      </c>
      <c r="G606" s="1" t="s">
        <v>114</v>
      </c>
    </row>
    <row r="607" spans="1:8" x14ac:dyDescent="0.3">
      <c r="A607" s="1">
        <v>595</v>
      </c>
      <c r="B607" s="2">
        <v>0.44930555555555557</v>
      </c>
      <c r="C607" s="2"/>
      <c r="D607" s="1" t="s">
        <v>158</v>
      </c>
      <c r="F607" s="1" t="s">
        <v>157</v>
      </c>
      <c r="G607" s="1" t="s">
        <v>114</v>
      </c>
    </row>
    <row r="608" spans="1:8" x14ac:dyDescent="0.3">
      <c r="A608" s="1">
        <v>596</v>
      </c>
      <c r="B608" s="2">
        <v>0.45833333333333331</v>
      </c>
      <c r="C608" s="2"/>
      <c r="D608" s="1" t="s">
        <v>158</v>
      </c>
      <c r="F608" s="1" t="s">
        <v>157</v>
      </c>
      <c r="G608" s="1" t="s">
        <v>114</v>
      </c>
    </row>
    <row r="609" spans="1:8" x14ac:dyDescent="0.3">
      <c r="A609" s="1">
        <v>608</v>
      </c>
      <c r="B609" s="2">
        <v>0.62708333333333333</v>
      </c>
      <c r="C609" s="2"/>
      <c r="D609" s="1" t="s">
        <v>235</v>
      </c>
      <c r="F609" s="1" t="s">
        <v>188</v>
      </c>
      <c r="G609" s="1" t="s">
        <v>78</v>
      </c>
    </row>
    <row r="610" spans="1:8" x14ac:dyDescent="0.3">
      <c r="A610" s="1">
        <v>609</v>
      </c>
      <c r="B610" s="2">
        <v>0.63888888888888884</v>
      </c>
      <c r="C610" s="2"/>
      <c r="D610" s="1" t="s">
        <v>235</v>
      </c>
      <c r="F610" s="1" t="s">
        <v>188</v>
      </c>
      <c r="G610" s="1" t="s">
        <v>78</v>
      </c>
    </row>
    <row r="611" spans="1:8" x14ac:dyDescent="0.3">
      <c r="A611" s="1">
        <v>610</v>
      </c>
      <c r="B611" s="2">
        <v>0.63888888888888884</v>
      </c>
      <c r="C611" s="2"/>
      <c r="D611" s="1" t="s">
        <v>273</v>
      </c>
      <c r="F611" s="1" t="s">
        <v>188</v>
      </c>
      <c r="G611" s="1" t="s">
        <v>78</v>
      </c>
    </row>
    <row r="612" spans="1:8" x14ac:dyDescent="0.3">
      <c r="A612" s="1">
        <v>611</v>
      </c>
      <c r="B612" s="2">
        <v>0.65277777777777779</v>
      </c>
      <c r="C612" s="2"/>
      <c r="D612" s="1" t="s">
        <v>273</v>
      </c>
      <c r="F612" s="1" t="s">
        <v>188</v>
      </c>
      <c r="G612" s="1" t="s">
        <v>78</v>
      </c>
    </row>
    <row r="613" spans="1:8" x14ac:dyDescent="0.3">
      <c r="A613" s="1">
        <v>612</v>
      </c>
      <c r="B613" s="2">
        <v>0.65277777777777779</v>
      </c>
      <c r="C613" s="2"/>
      <c r="D613" s="1" t="s">
        <v>189</v>
      </c>
      <c r="F613" s="1" t="s">
        <v>188</v>
      </c>
      <c r="G613" s="1" t="s">
        <v>78</v>
      </c>
    </row>
    <row r="614" spans="1:8" x14ac:dyDescent="0.3">
      <c r="A614" s="1">
        <v>613</v>
      </c>
      <c r="B614" s="2">
        <v>0.66666666666666663</v>
      </c>
      <c r="C614" s="2"/>
      <c r="D614" s="1" t="s">
        <v>189</v>
      </c>
      <c r="F614" s="1" t="s">
        <v>188</v>
      </c>
      <c r="G614" s="1" t="s">
        <v>78</v>
      </c>
      <c r="H614" s="1" t="s">
        <v>80</v>
      </c>
    </row>
    <row r="615" spans="1:8" x14ac:dyDescent="0.3">
      <c r="A615" s="1">
        <v>614</v>
      </c>
      <c r="B615" s="2">
        <v>0.66666666666666663</v>
      </c>
      <c r="C615" s="2"/>
      <c r="D615" s="1" t="s">
        <v>190</v>
      </c>
      <c r="F615" s="1" t="s">
        <v>188</v>
      </c>
      <c r="G615" s="1" t="s">
        <v>80</v>
      </c>
    </row>
    <row r="616" spans="1:8" x14ac:dyDescent="0.3">
      <c r="A616" s="1">
        <v>615</v>
      </c>
      <c r="B616" s="2">
        <v>0.35069444444444442</v>
      </c>
      <c r="C616" s="2"/>
      <c r="D616" s="1" t="s">
        <v>147</v>
      </c>
      <c r="F616" s="1" t="s">
        <v>98</v>
      </c>
      <c r="G616" s="1" t="s">
        <v>114</v>
      </c>
    </row>
    <row r="617" spans="1:8" x14ac:dyDescent="0.3">
      <c r="A617" s="1">
        <v>616</v>
      </c>
      <c r="B617" s="2">
        <v>0.35069444444444442</v>
      </c>
      <c r="C617" s="2"/>
      <c r="D617" s="1" t="s">
        <v>10</v>
      </c>
      <c r="F617" s="1" t="s">
        <v>98</v>
      </c>
      <c r="G617" s="1" t="s">
        <v>114</v>
      </c>
    </row>
    <row r="618" spans="1:8" x14ac:dyDescent="0.3">
      <c r="A618" s="1">
        <v>617</v>
      </c>
      <c r="B618" s="2">
        <v>0.38194444444444442</v>
      </c>
      <c r="C618" s="2"/>
      <c r="D618" s="1" t="s">
        <v>10</v>
      </c>
      <c r="F618" s="1" t="s">
        <v>98</v>
      </c>
      <c r="G618" s="1" t="s">
        <v>114</v>
      </c>
    </row>
    <row r="619" spans="1:8" x14ac:dyDescent="0.3">
      <c r="A619" s="1">
        <v>618</v>
      </c>
      <c r="B619" s="2">
        <v>0.38194444444444442</v>
      </c>
      <c r="C619" s="2"/>
      <c r="D619" s="1" t="s">
        <v>269</v>
      </c>
      <c r="F619" s="1" t="s">
        <v>98</v>
      </c>
      <c r="G619" s="1" t="s">
        <v>114</v>
      </c>
    </row>
    <row r="620" spans="1:8" x14ac:dyDescent="0.3">
      <c r="A620" s="1">
        <v>619</v>
      </c>
      <c r="B620" s="2">
        <v>0.80243055555555554</v>
      </c>
      <c r="C620" s="2"/>
      <c r="D620" s="1" t="s">
        <v>260</v>
      </c>
      <c r="F620" s="1" t="s">
        <v>218</v>
      </c>
      <c r="G620" s="1" t="s">
        <v>219</v>
      </c>
    </row>
    <row r="621" spans="1:8" x14ac:dyDescent="0.3">
      <c r="A621" s="1">
        <v>620</v>
      </c>
      <c r="B621" s="2">
        <v>0.31944444444444442</v>
      </c>
      <c r="C621" s="2"/>
      <c r="D621" s="1" t="s">
        <v>274</v>
      </c>
      <c r="F621" s="1" t="s">
        <v>206</v>
      </c>
      <c r="G621" s="1" t="s">
        <v>38</v>
      </c>
    </row>
    <row r="622" spans="1:8" x14ac:dyDescent="0.3">
      <c r="A622" s="1">
        <v>621</v>
      </c>
      <c r="B622" s="2">
        <v>0.14583333333333334</v>
      </c>
      <c r="C622" s="2"/>
      <c r="D622" s="1" t="s">
        <v>274</v>
      </c>
      <c r="F622" s="1" t="s">
        <v>206</v>
      </c>
      <c r="G622" s="1" t="s">
        <v>38</v>
      </c>
    </row>
    <row r="623" spans="1:8" x14ac:dyDescent="0.3">
      <c r="A623" s="1">
        <v>622</v>
      </c>
      <c r="B623" s="2">
        <v>0.27430555555555558</v>
      </c>
      <c r="C623" s="2"/>
      <c r="D623" s="1" t="s">
        <v>39</v>
      </c>
      <c r="F623" s="1" t="s">
        <v>206</v>
      </c>
      <c r="G623" s="1" t="s">
        <v>180</v>
      </c>
    </row>
    <row r="624" spans="1:8" x14ac:dyDescent="0.3">
      <c r="A624" s="1">
        <v>623</v>
      </c>
      <c r="B624" s="2">
        <v>0.26006944444444446</v>
      </c>
      <c r="C624" s="2"/>
      <c r="D624" s="1" t="s">
        <v>47</v>
      </c>
      <c r="F624" s="1" t="s">
        <v>163</v>
      </c>
      <c r="G624" s="1" t="s">
        <v>240</v>
      </c>
    </row>
    <row r="625" spans="1:7" x14ac:dyDescent="0.3">
      <c r="A625" s="1">
        <v>624</v>
      </c>
      <c r="B625" s="2">
        <v>0.26006944444444446</v>
      </c>
      <c r="C625" s="2"/>
      <c r="D625" s="1" t="s">
        <v>153</v>
      </c>
      <c r="F625" s="1" t="s">
        <v>163</v>
      </c>
      <c r="G625" s="1" t="s">
        <v>240</v>
      </c>
    </row>
    <row r="626" spans="1:7" x14ac:dyDescent="0.3">
      <c r="A626" s="1">
        <v>625</v>
      </c>
      <c r="B626" s="2">
        <v>0.26284722222222223</v>
      </c>
      <c r="C626" s="2"/>
      <c r="D626" s="1" t="s">
        <v>153</v>
      </c>
      <c r="F626" s="1" t="s">
        <v>163</v>
      </c>
      <c r="G626" s="1" t="s">
        <v>240</v>
      </c>
    </row>
    <row r="627" spans="1:7" x14ac:dyDescent="0.3">
      <c r="A627" s="1">
        <v>626</v>
      </c>
      <c r="B627" s="2">
        <v>0.24305555555555555</v>
      </c>
      <c r="C627" s="2"/>
      <c r="D627" s="1" t="s">
        <v>55</v>
      </c>
      <c r="F627" s="1" t="s">
        <v>163</v>
      </c>
      <c r="G627" s="1" t="s">
        <v>240</v>
      </c>
    </row>
    <row r="628" spans="1:7" x14ac:dyDescent="0.3">
      <c r="A628" s="1">
        <v>627</v>
      </c>
      <c r="B628" s="2">
        <v>0.26006944444444446</v>
      </c>
      <c r="C628" s="2"/>
      <c r="D628" s="1" t="s">
        <v>55</v>
      </c>
      <c r="F628" s="1" t="s">
        <v>163</v>
      </c>
      <c r="G628" s="1" t="s">
        <v>240</v>
      </c>
    </row>
    <row r="629" spans="1:7" x14ac:dyDescent="0.3">
      <c r="A629" s="1">
        <v>628</v>
      </c>
      <c r="B629" s="2">
        <v>0.68420138888888893</v>
      </c>
      <c r="C629" s="2"/>
      <c r="D629" s="1" t="s">
        <v>189</v>
      </c>
      <c r="F629" s="1" t="s">
        <v>78</v>
      </c>
      <c r="G629" s="1" t="s">
        <v>80</v>
      </c>
    </row>
    <row r="630" spans="1:7" x14ac:dyDescent="0.3">
      <c r="A630" s="1">
        <v>629</v>
      </c>
      <c r="B630" s="2">
        <v>0.67777777777777781</v>
      </c>
      <c r="C630" s="2"/>
      <c r="D630" s="1" t="s">
        <v>47</v>
      </c>
      <c r="F630" s="1" t="s">
        <v>66</v>
      </c>
      <c r="G630" s="1" t="s">
        <v>107</v>
      </c>
    </row>
    <row r="631" spans="1:7" x14ac:dyDescent="0.3">
      <c r="A631" s="1">
        <v>630</v>
      </c>
      <c r="B631" s="2">
        <v>0.76041666666666663</v>
      </c>
      <c r="C631" s="2"/>
      <c r="D631" s="1" t="s">
        <v>65</v>
      </c>
      <c r="F631" s="1" t="s">
        <v>66</v>
      </c>
      <c r="G631" s="1" t="s">
        <v>64</v>
      </c>
    </row>
    <row r="632" spans="1:7" x14ac:dyDescent="0.3">
      <c r="A632" s="1">
        <v>631</v>
      </c>
      <c r="B632" s="2">
        <v>0.76041666666666663</v>
      </c>
      <c r="C632" s="2"/>
      <c r="D632" s="1" t="s">
        <v>275</v>
      </c>
      <c r="F632" s="1" t="s">
        <v>66</v>
      </c>
      <c r="G632" s="1" t="s">
        <v>64</v>
      </c>
    </row>
    <row r="633" spans="1:7" x14ac:dyDescent="0.3">
      <c r="A633" s="1">
        <v>632</v>
      </c>
      <c r="B633" s="2">
        <v>0.76770833333333333</v>
      </c>
      <c r="C633" s="2"/>
      <c r="D633" s="1" t="s">
        <v>275</v>
      </c>
      <c r="F633" s="1" t="s">
        <v>66</v>
      </c>
      <c r="G633" s="1" t="s">
        <v>64</v>
      </c>
    </row>
    <row r="634" spans="1:7" x14ac:dyDescent="0.3">
      <c r="A634" s="1">
        <v>633</v>
      </c>
      <c r="B634" s="2">
        <v>0.76770833333333333</v>
      </c>
      <c r="C634" s="2"/>
      <c r="D634" s="1" t="s">
        <v>276</v>
      </c>
      <c r="F634" s="1" t="s">
        <v>66</v>
      </c>
      <c r="G634" s="1" t="s">
        <v>64</v>
      </c>
    </row>
    <row r="635" spans="1:7" x14ac:dyDescent="0.3">
      <c r="A635" s="1">
        <v>634</v>
      </c>
      <c r="B635" s="2">
        <v>0.76041666666666663</v>
      </c>
      <c r="C635" s="2"/>
      <c r="D635" s="1" t="s">
        <v>276</v>
      </c>
      <c r="F635" s="1" t="s">
        <v>66</v>
      </c>
      <c r="G635" s="1" t="s">
        <v>64</v>
      </c>
    </row>
    <row r="636" spans="1:7" x14ac:dyDescent="0.3">
      <c r="A636" s="1">
        <v>635</v>
      </c>
      <c r="B636" s="2">
        <v>0.76041666666666663</v>
      </c>
      <c r="C636" s="2"/>
      <c r="D636" s="1" t="s">
        <v>47</v>
      </c>
      <c r="F636" s="1" t="s">
        <v>66</v>
      </c>
      <c r="G636" s="1" t="s">
        <v>64</v>
      </c>
    </row>
    <row r="637" spans="1:7" x14ac:dyDescent="0.3">
      <c r="A637" s="1">
        <v>636</v>
      </c>
      <c r="B637" s="2">
        <v>0.74305555555555558</v>
      </c>
      <c r="C637" s="2"/>
      <c r="D637" s="1" t="s">
        <v>47</v>
      </c>
      <c r="F637" s="1" t="s">
        <v>66</v>
      </c>
      <c r="G637" s="1" t="s">
        <v>64</v>
      </c>
    </row>
    <row r="638" spans="1:7" x14ac:dyDescent="0.3">
      <c r="A638" s="1">
        <v>637</v>
      </c>
      <c r="B638" s="2">
        <v>0.74305555555555558</v>
      </c>
      <c r="C638" s="2"/>
      <c r="D638" s="1" t="s">
        <v>55</v>
      </c>
      <c r="F638" s="1" t="s">
        <v>66</v>
      </c>
      <c r="G638" s="1" t="s">
        <v>64</v>
      </c>
    </row>
    <row r="639" spans="1:7" x14ac:dyDescent="0.3">
      <c r="A639" s="1">
        <v>638</v>
      </c>
      <c r="B639" s="2">
        <v>0.74861111111111112</v>
      </c>
      <c r="C639" s="2"/>
      <c r="D639" s="1" t="s">
        <v>55</v>
      </c>
      <c r="F639" s="1" t="s">
        <v>66</v>
      </c>
      <c r="G639" s="1" t="s">
        <v>64</v>
      </c>
    </row>
    <row r="640" spans="1:7" x14ac:dyDescent="0.3">
      <c r="A640" s="1">
        <v>639</v>
      </c>
      <c r="B640" s="2">
        <v>0.74861111111111112</v>
      </c>
      <c r="C640" s="2"/>
      <c r="D640" s="1" t="s">
        <v>277</v>
      </c>
      <c r="F640" s="1" t="s">
        <v>66</v>
      </c>
      <c r="G640" s="1" t="s">
        <v>64</v>
      </c>
    </row>
    <row r="641" spans="1:8" x14ac:dyDescent="0.3">
      <c r="A641" s="1">
        <v>640</v>
      </c>
      <c r="B641" s="2">
        <v>0.73611111111111116</v>
      </c>
      <c r="C641" s="2"/>
      <c r="D641" s="1" t="s">
        <v>277</v>
      </c>
      <c r="F641" s="1" t="s">
        <v>66</v>
      </c>
      <c r="G641" s="1" t="s">
        <v>64</v>
      </c>
    </row>
    <row r="642" spans="1:8" x14ac:dyDescent="0.3">
      <c r="A642" s="1">
        <v>641</v>
      </c>
      <c r="B642" s="2">
        <v>0.73611111111111116</v>
      </c>
      <c r="C642" s="2"/>
      <c r="D642" s="1" t="s">
        <v>278</v>
      </c>
      <c r="F642" s="1" t="s">
        <v>66</v>
      </c>
      <c r="G642" s="1" t="s">
        <v>64</v>
      </c>
    </row>
    <row r="643" spans="1:8" x14ac:dyDescent="0.3">
      <c r="A643" s="1">
        <v>642</v>
      </c>
      <c r="B643" s="2">
        <v>0.73263888888888884</v>
      </c>
      <c r="C643" s="2"/>
      <c r="D643" s="1" t="s">
        <v>278</v>
      </c>
      <c r="F643" s="1" t="s">
        <v>66</v>
      </c>
      <c r="G643" s="1" t="s">
        <v>64</v>
      </c>
    </row>
    <row r="644" spans="1:8" x14ac:dyDescent="0.3">
      <c r="A644" s="1">
        <v>643</v>
      </c>
      <c r="B644" s="2">
        <v>0.73263888888888884</v>
      </c>
      <c r="C644" s="2"/>
      <c r="D644" s="1" t="s">
        <v>277</v>
      </c>
      <c r="F644" s="1" t="s">
        <v>66</v>
      </c>
      <c r="G644" s="1" t="s">
        <v>64</v>
      </c>
    </row>
    <row r="645" spans="1:8" x14ac:dyDescent="0.3">
      <c r="A645" s="1">
        <v>644</v>
      </c>
      <c r="B645" s="2">
        <v>0.71527777777777779</v>
      </c>
      <c r="C645" s="2"/>
      <c r="D645" s="1" t="s">
        <v>277</v>
      </c>
      <c r="F645" s="1" t="s">
        <v>66</v>
      </c>
      <c r="G645" s="1" t="s">
        <v>64</v>
      </c>
    </row>
    <row r="646" spans="1:8" x14ac:dyDescent="0.3">
      <c r="A646" s="1">
        <v>645</v>
      </c>
      <c r="B646" s="2">
        <v>0.71527777777777779</v>
      </c>
      <c r="C646" s="2"/>
      <c r="D646" s="1" t="s">
        <v>279</v>
      </c>
      <c r="F646" s="1" t="s">
        <v>66</v>
      </c>
      <c r="G646" s="1" t="s">
        <v>64</v>
      </c>
    </row>
    <row r="647" spans="1:8" x14ac:dyDescent="0.3">
      <c r="A647" s="1">
        <v>646</v>
      </c>
      <c r="B647" s="2">
        <v>0.73333333333333328</v>
      </c>
      <c r="C647" s="2"/>
      <c r="D647" s="1" t="s">
        <v>279</v>
      </c>
      <c r="F647" s="1" t="s">
        <v>66</v>
      </c>
      <c r="G647" s="1" t="s">
        <v>75</v>
      </c>
      <c r="H647" s="1" t="s">
        <v>64</v>
      </c>
    </row>
    <row r="648" spans="1:8" x14ac:dyDescent="0.3">
      <c r="A648" s="1">
        <v>647</v>
      </c>
      <c r="B648" s="2">
        <v>0.73333333333333328</v>
      </c>
      <c r="C648" s="2"/>
      <c r="D648" s="1" t="s">
        <v>134</v>
      </c>
      <c r="F648" s="1" t="s">
        <v>66</v>
      </c>
      <c r="G648" s="1" t="s">
        <v>75</v>
      </c>
      <c r="H648" s="1" t="s">
        <v>80</v>
      </c>
    </row>
    <row r="649" spans="1:8" x14ac:dyDescent="0.3">
      <c r="A649" s="1">
        <v>648</v>
      </c>
      <c r="B649" s="2">
        <v>0.69791666666666663</v>
      </c>
      <c r="C649" s="2"/>
      <c r="D649" s="1" t="s">
        <v>134</v>
      </c>
      <c r="F649" s="1" t="s">
        <v>66</v>
      </c>
      <c r="G649" s="1" t="s">
        <v>80</v>
      </c>
    </row>
    <row r="650" spans="1:8" x14ac:dyDescent="0.3">
      <c r="A650" s="1">
        <v>649</v>
      </c>
      <c r="B650" s="2">
        <v>0.69791666666666663</v>
      </c>
      <c r="C650" s="2"/>
      <c r="D650" s="1" t="s">
        <v>280</v>
      </c>
      <c r="F650" s="1" t="s">
        <v>66</v>
      </c>
      <c r="G650" s="1" t="s">
        <v>80</v>
      </c>
    </row>
    <row r="651" spans="1:8" x14ac:dyDescent="0.3">
      <c r="A651" s="1">
        <v>650</v>
      </c>
      <c r="B651" s="2">
        <v>0.67777777777777781</v>
      </c>
      <c r="C651" s="2"/>
      <c r="D651" s="1" t="s">
        <v>280</v>
      </c>
      <c r="F651" s="1" t="s">
        <v>66</v>
      </c>
      <c r="G651" s="1" t="s">
        <v>80</v>
      </c>
    </row>
    <row r="652" spans="1:8" x14ac:dyDescent="0.3">
      <c r="A652" s="1">
        <v>651</v>
      </c>
      <c r="B652" s="2">
        <v>0.67777777777777781</v>
      </c>
      <c r="C652" s="2"/>
      <c r="D652" s="1" t="s">
        <v>281</v>
      </c>
      <c r="F652" s="1" t="s">
        <v>66</v>
      </c>
      <c r="G652" s="1" t="s">
        <v>80</v>
      </c>
    </row>
    <row r="653" spans="1:8" x14ac:dyDescent="0.3">
      <c r="A653" s="1">
        <v>652</v>
      </c>
      <c r="B653" s="2">
        <v>0.68229166666666663</v>
      </c>
      <c r="C653" s="2"/>
      <c r="D653" s="1" t="s">
        <v>281</v>
      </c>
      <c r="F653" s="1" t="s">
        <v>66</v>
      </c>
      <c r="G653" s="1" t="s">
        <v>80</v>
      </c>
    </row>
    <row r="654" spans="1:8" x14ac:dyDescent="0.3">
      <c r="A654" s="1">
        <v>653</v>
      </c>
      <c r="B654" s="2">
        <v>0.68229166666666663</v>
      </c>
      <c r="C654" s="2"/>
      <c r="D654" s="1" t="s">
        <v>282</v>
      </c>
      <c r="F654" s="1" t="s">
        <v>66</v>
      </c>
      <c r="G654" s="1" t="s">
        <v>80</v>
      </c>
    </row>
    <row r="655" spans="1:8" x14ac:dyDescent="0.3">
      <c r="A655" s="1">
        <v>654</v>
      </c>
      <c r="B655" s="2">
        <v>0.67777777777777781</v>
      </c>
      <c r="C655" s="2"/>
      <c r="D655" s="1" t="s">
        <v>282</v>
      </c>
      <c r="F655" s="1" t="s">
        <v>66</v>
      </c>
      <c r="G655" s="1" t="s">
        <v>80</v>
      </c>
    </row>
    <row r="656" spans="1:8" x14ac:dyDescent="0.3">
      <c r="A656" s="1">
        <v>655</v>
      </c>
      <c r="B656" s="2">
        <v>0.67777777777777781</v>
      </c>
      <c r="C656" s="2"/>
      <c r="D656" s="1" t="s">
        <v>270</v>
      </c>
      <c r="F656" s="1" t="s">
        <v>66</v>
      </c>
      <c r="G656" s="1" t="s">
        <v>80</v>
      </c>
    </row>
    <row r="657" spans="1:22" x14ac:dyDescent="0.3">
      <c r="A657" s="1">
        <v>656</v>
      </c>
      <c r="B657" s="2">
        <v>0.67777777777777781</v>
      </c>
      <c r="C657" s="2"/>
      <c r="D657" s="1" t="s">
        <v>272</v>
      </c>
      <c r="F657" s="1" t="s">
        <v>66</v>
      </c>
      <c r="G657" s="1" t="s">
        <v>107</v>
      </c>
    </row>
    <row r="658" spans="1:22" x14ac:dyDescent="0.3">
      <c r="A658" s="1">
        <v>657</v>
      </c>
      <c r="B658" s="2">
        <v>0.19236111111111112</v>
      </c>
      <c r="C658" s="3">
        <f>HOUR(B658) + MINUTE(B658)/60 + SECOND(B658)/3600</f>
        <v>4.6166666666666671</v>
      </c>
      <c r="D658" s="1" t="s">
        <v>283</v>
      </c>
      <c r="F658" s="1" t="s">
        <v>240</v>
      </c>
      <c r="G658" s="1" t="s">
        <v>92</v>
      </c>
      <c r="L658">
        <v>4</v>
      </c>
      <c r="M658">
        <v>43</v>
      </c>
      <c r="N658">
        <v>24.566500000000001</v>
      </c>
      <c r="O658">
        <f>L658+M658/60+N658/3600</f>
        <v>4.7234906944444441</v>
      </c>
      <c r="P658" s="1">
        <v>0.2375014</v>
      </c>
      <c r="Q658" t="s">
        <v>240</v>
      </c>
      <c r="V658">
        <f>37/60</f>
        <v>0.6166666666666667</v>
      </c>
    </row>
    <row r="659" spans="1:22" x14ac:dyDescent="0.3">
      <c r="A659" s="1">
        <v>658</v>
      </c>
      <c r="B659" s="2">
        <v>0.20694444444444443</v>
      </c>
      <c r="C659" s="3">
        <f t="shared" ref="C659:C668" si="0">HOUR(B659) + MINUTE(B659)/60 + SECOND(B659)/3600</f>
        <v>4.9666666666666668</v>
      </c>
      <c r="D659" s="1" t="s">
        <v>283</v>
      </c>
      <c r="F659" s="1" t="s">
        <v>240</v>
      </c>
      <c r="G659" s="1" t="s">
        <v>92</v>
      </c>
      <c r="L659">
        <v>4</v>
      </c>
      <c r="M659">
        <v>44</v>
      </c>
      <c r="N659">
        <v>8.1669</v>
      </c>
      <c r="O659">
        <f t="shared" ref="O659:O685" si="1">L659+M659/60+N659/3600</f>
        <v>4.735601916666667</v>
      </c>
      <c r="P659" s="1">
        <v>15.736463499999999</v>
      </c>
      <c r="Q659" t="s">
        <v>240</v>
      </c>
    </row>
    <row r="660" spans="1:22" x14ac:dyDescent="0.3">
      <c r="A660" s="1">
        <v>659</v>
      </c>
      <c r="B660" s="2">
        <v>0.20694444444444443</v>
      </c>
      <c r="C660" s="3">
        <f t="shared" si="0"/>
        <v>4.9666666666666668</v>
      </c>
      <c r="D660" s="1" t="s">
        <v>259</v>
      </c>
      <c r="F660" s="1" t="s">
        <v>240</v>
      </c>
      <c r="G660" s="1" t="s">
        <v>92</v>
      </c>
      <c r="L660">
        <v>5</v>
      </c>
      <c r="M660">
        <v>5</v>
      </c>
      <c r="N660">
        <v>9.3422999999999998</v>
      </c>
      <c r="O660">
        <f t="shared" si="1"/>
        <v>5.0859284166666665</v>
      </c>
      <c r="P660" s="1">
        <v>15.675535200000001</v>
      </c>
      <c r="Q660" t="s">
        <v>240</v>
      </c>
    </row>
    <row r="661" spans="1:22" x14ac:dyDescent="0.3">
      <c r="A661" s="1">
        <v>660</v>
      </c>
      <c r="B661" s="2">
        <v>0.22222222222222221</v>
      </c>
      <c r="C661" s="3">
        <f t="shared" si="0"/>
        <v>5.333333333333333</v>
      </c>
      <c r="D661" s="1" t="s">
        <v>259</v>
      </c>
      <c r="F661" s="1" t="s">
        <v>240</v>
      </c>
      <c r="G661" s="1" t="s">
        <v>92</v>
      </c>
      <c r="L661">
        <v>5</v>
      </c>
      <c r="M661">
        <v>5</v>
      </c>
      <c r="N661">
        <v>10.866899999999999</v>
      </c>
      <c r="O661">
        <f t="shared" si="1"/>
        <v>5.0863519166666666</v>
      </c>
      <c r="P661" s="1">
        <v>16.175498999999999</v>
      </c>
      <c r="Q661" t="s">
        <v>240</v>
      </c>
    </row>
    <row r="662" spans="1:22" x14ac:dyDescent="0.3">
      <c r="A662" s="1">
        <v>661</v>
      </c>
      <c r="B662" s="2">
        <v>0.22222222222222221</v>
      </c>
      <c r="C662" s="3">
        <f t="shared" si="0"/>
        <v>5.333333333333333</v>
      </c>
      <c r="D662" s="1" t="s">
        <v>283</v>
      </c>
      <c r="F662" s="1" t="s">
        <v>240</v>
      </c>
      <c r="G662" s="1" t="s">
        <v>92</v>
      </c>
      <c r="L662">
        <v>5</v>
      </c>
      <c r="M662">
        <v>27</v>
      </c>
      <c r="N662">
        <v>11.691000000000001</v>
      </c>
      <c r="O662">
        <f t="shared" si="1"/>
        <v>5.4532474999999998</v>
      </c>
      <c r="P662" s="1">
        <v>16.1101055</v>
      </c>
      <c r="Q662" t="s">
        <v>240</v>
      </c>
    </row>
    <row r="663" spans="1:22" x14ac:dyDescent="0.3">
      <c r="A663" s="1">
        <v>662</v>
      </c>
      <c r="B663" s="2">
        <v>0.23333333333333334</v>
      </c>
      <c r="C663" s="3">
        <f t="shared" si="0"/>
        <v>5.6</v>
      </c>
      <c r="D663" s="1" t="s">
        <v>283</v>
      </c>
      <c r="F663" s="1" t="s">
        <v>240</v>
      </c>
      <c r="G663" s="1" t="s">
        <v>92</v>
      </c>
      <c r="L663">
        <v>5</v>
      </c>
      <c r="M663">
        <v>27</v>
      </c>
      <c r="N663">
        <v>10.1358</v>
      </c>
      <c r="O663">
        <f t="shared" si="1"/>
        <v>5.4528154999999998</v>
      </c>
      <c r="P663" s="1">
        <v>15.6101446</v>
      </c>
      <c r="Q663" t="s">
        <v>240</v>
      </c>
    </row>
    <row r="664" spans="1:22" x14ac:dyDescent="0.3">
      <c r="A664" s="1">
        <v>663</v>
      </c>
      <c r="B664" s="2">
        <v>0.23333333333333334</v>
      </c>
      <c r="C664" s="3">
        <f t="shared" si="0"/>
        <v>5.6</v>
      </c>
      <c r="D664" s="1" t="s">
        <v>168</v>
      </c>
      <c r="F664" s="1" t="s">
        <v>240</v>
      </c>
      <c r="G664" s="1" t="s">
        <v>92</v>
      </c>
      <c r="L664">
        <v>5</v>
      </c>
      <c r="M664">
        <v>43</v>
      </c>
      <c r="N664">
        <v>10.475099999999999</v>
      </c>
      <c r="O664">
        <f t="shared" si="1"/>
        <v>5.7195764166666665</v>
      </c>
      <c r="P664" s="1">
        <v>15.561920199999999</v>
      </c>
      <c r="Q664" t="s">
        <v>240</v>
      </c>
    </row>
    <row r="665" spans="1:22" x14ac:dyDescent="0.3">
      <c r="A665" s="1">
        <v>664</v>
      </c>
      <c r="B665" s="2">
        <v>0.24027777777777778</v>
      </c>
      <c r="C665" s="3">
        <f t="shared" si="0"/>
        <v>5.7666666666666666</v>
      </c>
      <c r="D665" s="1" t="s">
        <v>168</v>
      </c>
      <c r="F665" s="1" t="s">
        <v>240</v>
      </c>
      <c r="G665" s="1" t="s">
        <v>92</v>
      </c>
      <c r="L665">
        <v>5</v>
      </c>
      <c r="M665">
        <v>43</v>
      </c>
      <c r="N665">
        <v>1.2137</v>
      </c>
      <c r="O665">
        <f t="shared" si="1"/>
        <v>5.7170038055555557</v>
      </c>
      <c r="P665" s="1">
        <v>12.5621548</v>
      </c>
      <c r="Q665" t="s">
        <v>240</v>
      </c>
    </row>
    <row r="666" spans="1:22" x14ac:dyDescent="0.3">
      <c r="A666" s="1">
        <v>665</v>
      </c>
      <c r="B666" s="2">
        <v>0.24027777777777778</v>
      </c>
      <c r="C666" s="3">
        <f t="shared" si="0"/>
        <v>5.7666666666666666</v>
      </c>
      <c r="D666" s="1" t="s">
        <v>284</v>
      </c>
      <c r="F666" s="1" t="s">
        <v>240</v>
      </c>
      <c r="G666" s="1" t="s">
        <v>92</v>
      </c>
      <c r="L666">
        <v>5</v>
      </c>
      <c r="M666">
        <v>53</v>
      </c>
      <c r="N666">
        <v>1.2887</v>
      </c>
      <c r="O666">
        <f t="shared" si="1"/>
        <v>5.8836913055555549</v>
      </c>
      <c r="P666" s="1">
        <v>12.531850800000001</v>
      </c>
      <c r="Q666" t="s">
        <v>240</v>
      </c>
    </row>
    <row r="667" spans="1:22" x14ac:dyDescent="0.3">
      <c r="A667" s="1">
        <v>666</v>
      </c>
      <c r="B667" s="2">
        <v>0.23749999999999999</v>
      </c>
      <c r="C667" s="3">
        <f t="shared" si="0"/>
        <v>5.7</v>
      </c>
      <c r="D667" s="1" t="s">
        <v>284</v>
      </c>
      <c r="F667" s="1" t="s">
        <v>240</v>
      </c>
      <c r="G667" s="1" t="s">
        <v>92</v>
      </c>
      <c r="L667">
        <v>5</v>
      </c>
      <c r="M667">
        <v>53</v>
      </c>
      <c r="N667">
        <v>18.520099999999999</v>
      </c>
      <c r="O667">
        <f t="shared" si="1"/>
        <v>5.8884778055555547</v>
      </c>
      <c r="P667" s="1">
        <v>18.031415899999999</v>
      </c>
      <c r="Q667" t="s">
        <v>240</v>
      </c>
    </row>
    <row r="668" spans="1:22" x14ac:dyDescent="0.3">
      <c r="A668" s="1">
        <v>667</v>
      </c>
      <c r="B668" s="2">
        <v>0.23749999999999999</v>
      </c>
      <c r="C668" s="3">
        <f t="shared" si="0"/>
        <v>5.7</v>
      </c>
      <c r="D668" s="1" t="s">
        <v>254</v>
      </c>
      <c r="F668" s="1" t="s">
        <v>240</v>
      </c>
      <c r="G668" s="1" t="s">
        <v>92</v>
      </c>
      <c r="L668">
        <v>5</v>
      </c>
      <c r="M668">
        <v>49</v>
      </c>
      <c r="N668">
        <v>18.4757</v>
      </c>
      <c r="O668">
        <f t="shared" si="1"/>
        <v>5.821798805555555</v>
      </c>
      <c r="P668" s="1">
        <v>18.043548600000001</v>
      </c>
      <c r="Q668" t="s">
        <v>240</v>
      </c>
    </row>
    <row r="669" spans="1:22" x14ac:dyDescent="0.3">
      <c r="A669" s="1">
        <v>668</v>
      </c>
      <c r="B669" s="2">
        <v>0.88541666666666663</v>
      </c>
      <c r="C669" s="2"/>
      <c r="D669" s="1" t="s">
        <v>227</v>
      </c>
      <c r="F669" s="1" t="s">
        <v>3</v>
      </c>
      <c r="G669" s="1" t="s">
        <v>219</v>
      </c>
      <c r="L669">
        <v>5</v>
      </c>
      <c r="M669">
        <v>49</v>
      </c>
      <c r="N669">
        <v>34.5105</v>
      </c>
      <c r="O669">
        <f t="shared" si="1"/>
        <v>5.8262529166666663</v>
      </c>
      <c r="P669" s="1">
        <v>22.876472499999998</v>
      </c>
      <c r="Q669" t="s">
        <v>240</v>
      </c>
    </row>
    <row r="670" spans="1:22" x14ac:dyDescent="0.3">
      <c r="A670" s="1">
        <v>669</v>
      </c>
      <c r="B670" s="2">
        <v>0.88541666666666663</v>
      </c>
      <c r="C670" s="2"/>
      <c r="D670" s="1" t="s">
        <v>266</v>
      </c>
      <c r="F670" s="1" t="s">
        <v>3</v>
      </c>
      <c r="G670" s="1" t="s">
        <v>219</v>
      </c>
      <c r="L670">
        <v>6</v>
      </c>
      <c r="M670">
        <v>0</v>
      </c>
      <c r="N670">
        <v>34.569000000000003</v>
      </c>
      <c r="O670">
        <f t="shared" si="1"/>
        <v>6.0096024999999997</v>
      </c>
      <c r="P670" s="1">
        <v>22.843086199999998</v>
      </c>
      <c r="Q670" t="s">
        <v>240</v>
      </c>
    </row>
    <row r="671" spans="1:22" x14ac:dyDescent="0.3">
      <c r="A671" s="1">
        <v>670</v>
      </c>
      <c r="B671" s="2">
        <v>0.89236111111111116</v>
      </c>
      <c r="C671" s="2"/>
      <c r="D671" s="1" t="s">
        <v>266</v>
      </c>
      <c r="F671" s="1" t="s">
        <v>3</v>
      </c>
      <c r="G671" s="1" t="s">
        <v>219</v>
      </c>
      <c r="L671">
        <v>6</v>
      </c>
      <c r="M671">
        <v>0</v>
      </c>
      <c r="N671">
        <v>30.037299999999998</v>
      </c>
      <c r="O671">
        <f t="shared" si="1"/>
        <v>6.0083436944444442</v>
      </c>
      <c r="P671" s="1">
        <v>21.509872399999999</v>
      </c>
      <c r="Q671" t="s">
        <v>240</v>
      </c>
    </row>
    <row r="672" spans="1:22" x14ac:dyDescent="0.3">
      <c r="A672" s="1">
        <v>671</v>
      </c>
      <c r="B672" s="2">
        <v>5.9027777777777776E-3</v>
      </c>
      <c r="C672" s="2"/>
      <c r="D672" s="1" t="s">
        <v>168</v>
      </c>
      <c r="F672" s="1" t="s">
        <v>3</v>
      </c>
      <c r="G672" s="1" t="s">
        <v>16</v>
      </c>
      <c r="L672">
        <v>6</v>
      </c>
      <c r="M672">
        <v>20</v>
      </c>
      <c r="N672">
        <v>29.790600000000001</v>
      </c>
      <c r="O672">
        <f t="shared" si="1"/>
        <v>6.3416084999999995</v>
      </c>
      <c r="P672" s="1">
        <v>21.4491768</v>
      </c>
      <c r="Q672" t="s">
        <v>240</v>
      </c>
    </row>
    <row r="673" spans="1:17" x14ac:dyDescent="0.3">
      <c r="A673" s="1">
        <v>672</v>
      </c>
      <c r="B673" s="2">
        <v>0</v>
      </c>
      <c r="C673" s="2"/>
      <c r="D673" s="1" t="s">
        <v>168</v>
      </c>
      <c r="F673" s="1" t="s">
        <v>3</v>
      </c>
      <c r="G673" s="1" t="s">
        <v>16</v>
      </c>
      <c r="L673">
        <v>6</v>
      </c>
      <c r="M673">
        <v>20</v>
      </c>
      <c r="N673">
        <v>16.6981</v>
      </c>
      <c r="O673">
        <f t="shared" si="1"/>
        <v>6.3379716944444437</v>
      </c>
      <c r="P673" s="1">
        <v>17.449506800000002</v>
      </c>
      <c r="Q673" t="s">
        <v>240</v>
      </c>
    </row>
    <row r="674" spans="1:17" x14ac:dyDescent="0.3">
      <c r="A674" s="1">
        <v>673</v>
      </c>
      <c r="B674" s="2">
        <v>0</v>
      </c>
      <c r="C674" s="2"/>
      <c r="D674" s="1" t="s">
        <v>153</v>
      </c>
      <c r="F674" s="1" t="s">
        <v>3</v>
      </c>
      <c r="G674" s="1" t="s">
        <v>16</v>
      </c>
      <c r="L674">
        <v>6</v>
      </c>
      <c r="M674">
        <v>25</v>
      </c>
      <c r="N674">
        <v>46.540199999999999</v>
      </c>
      <c r="O674">
        <f t="shared" si="1"/>
        <v>6.4295945000000003</v>
      </c>
      <c r="P674" s="1">
        <v>17.432865100000001</v>
      </c>
      <c r="Q674" t="s">
        <v>240</v>
      </c>
    </row>
    <row r="675" spans="1:17" x14ac:dyDescent="0.3">
      <c r="A675" s="1">
        <v>674</v>
      </c>
      <c r="B675" s="2">
        <v>0.99305555555555558</v>
      </c>
      <c r="C675" s="2"/>
      <c r="D675" s="1" t="s">
        <v>153</v>
      </c>
      <c r="F675" s="1" t="s">
        <v>3</v>
      </c>
      <c r="G675" s="1" t="s">
        <v>16</v>
      </c>
      <c r="L675">
        <v>6</v>
      </c>
      <c r="M675">
        <v>25</v>
      </c>
      <c r="N675">
        <v>29.4633</v>
      </c>
      <c r="O675">
        <f t="shared" si="1"/>
        <v>6.4248509166666672</v>
      </c>
      <c r="P675" s="1">
        <v>11.9332972</v>
      </c>
      <c r="Q675" t="s">
        <v>240</v>
      </c>
    </row>
    <row r="676" spans="1:17" x14ac:dyDescent="0.3">
      <c r="A676" s="1">
        <v>675</v>
      </c>
      <c r="B676" s="2">
        <v>0.99305555555555558</v>
      </c>
      <c r="C676" s="2"/>
      <c r="D676" s="1" t="s">
        <v>285</v>
      </c>
      <c r="F676" s="1" t="s">
        <v>3</v>
      </c>
      <c r="G676" s="1" t="s">
        <v>16</v>
      </c>
      <c r="L676">
        <v>6</v>
      </c>
      <c r="M676">
        <v>25</v>
      </c>
      <c r="N676">
        <v>23.439699999999998</v>
      </c>
      <c r="O676">
        <f t="shared" si="1"/>
        <v>6.423177694444445</v>
      </c>
      <c r="P676" s="1">
        <v>9.9334477999999997</v>
      </c>
      <c r="Q676" t="s">
        <v>240</v>
      </c>
    </row>
    <row r="677" spans="1:17" x14ac:dyDescent="0.3">
      <c r="A677" s="1">
        <v>676</v>
      </c>
      <c r="B677" s="2">
        <v>0.94791666666666663</v>
      </c>
      <c r="C677" s="2"/>
      <c r="D677" s="1" t="s">
        <v>285</v>
      </c>
      <c r="F677" s="1" t="s">
        <v>3</v>
      </c>
      <c r="G677" s="1" t="s">
        <v>16</v>
      </c>
      <c r="L677">
        <v>6</v>
      </c>
      <c r="M677">
        <v>21</v>
      </c>
      <c r="N677">
        <v>23.5275</v>
      </c>
      <c r="O677">
        <f t="shared" si="1"/>
        <v>6.3565354166666665</v>
      </c>
      <c r="P677" s="1">
        <v>9.9455480999999999</v>
      </c>
      <c r="Q677" t="s">
        <v>240</v>
      </c>
    </row>
    <row r="678" spans="1:17" x14ac:dyDescent="0.3">
      <c r="A678" s="1">
        <v>677</v>
      </c>
      <c r="B678" s="2">
        <v>0.11319444444444444</v>
      </c>
      <c r="C678" s="2"/>
      <c r="D678" s="1" t="s">
        <v>158</v>
      </c>
      <c r="F678" s="1" t="s">
        <v>9</v>
      </c>
      <c r="G678" s="1" t="s">
        <v>13</v>
      </c>
      <c r="L678">
        <v>6</v>
      </c>
      <c r="M678">
        <v>20</v>
      </c>
      <c r="N678">
        <v>54.1633</v>
      </c>
      <c r="O678">
        <f t="shared" si="1"/>
        <v>6.3483786944444445</v>
      </c>
      <c r="P678" s="1">
        <v>-5.37102E-2</v>
      </c>
      <c r="Q678" t="s">
        <v>240</v>
      </c>
    </row>
    <row r="679" spans="1:17" x14ac:dyDescent="0.3">
      <c r="A679" s="1">
        <v>678</v>
      </c>
      <c r="B679" s="2">
        <v>0.10694444444444444</v>
      </c>
      <c r="C679" s="2"/>
      <c r="D679" s="1" t="s">
        <v>158</v>
      </c>
      <c r="F679" s="1" t="s">
        <v>9</v>
      </c>
      <c r="G679" s="1" t="s">
        <v>13</v>
      </c>
      <c r="L679">
        <v>6</v>
      </c>
      <c r="M679">
        <v>20</v>
      </c>
      <c r="N679">
        <v>42.514099999999999</v>
      </c>
      <c r="O679">
        <f t="shared" si="1"/>
        <v>6.3451428055555557</v>
      </c>
      <c r="P679" s="1">
        <v>-4.0534163000000003</v>
      </c>
      <c r="Q679" t="s">
        <v>240</v>
      </c>
    </row>
    <row r="680" spans="1:17" x14ac:dyDescent="0.3">
      <c r="A680" s="1">
        <v>679</v>
      </c>
      <c r="B680" s="2">
        <v>0.10694444444444444</v>
      </c>
      <c r="C680" s="2"/>
      <c r="D680" s="1" t="s">
        <v>12</v>
      </c>
      <c r="F680" s="1" t="s">
        <v>9</v>
      </c>
      <c r="G680" s="1" t="s">
        <v>13</v>
      </c>
      <c r="L680">
        <v>5</v>
      </c>
      <c r="M680">
        <v>56</v>
      </c>
      <c r="N680">
        <v>12.5693</v>
      </c>
      <c r="O680">
        <f t="shared" si="1"/>
        <v>5.9368248055555561</v>
      </c>
      <c r="P680" s="1">
        <v>-3.9790573</v>
      </c>
      <c r="Q680" t="s">
        <v>240</v>
      </c>
    </row>
    <row r="681" spans="1:17" x14ac:dyDescent="0.3">
      <c r="A681" s="1">
        <v>680</v>
      </c>
      <c r="B681" s="2">
        <v>0.97222222222222221</v>
      </c>
      <c r="C681" s="2"/>
      <c r="D681" s="1" t="s">
        <v>244</v>
      </c>
      <c r="F681" s="1" t="s">
        <v>245</v>
      </c>
      <c r="G681" s="1" t="s">
        <v>246</v>
      </c>
      <c r="L681">
        <v>5</v>
      </c>
      <c r="M681">
        <v>55</v>
      </c>
      <c r="N681">
        <v>51.789700000000003</v>
      </c>
      <c r="O681">
        <f t="shared" si="1"/>
        <v>5.9310526944444444</v>
      </c>
      <c r="P681" s="1">
        <v>-10.978531800000001</v>
      </c>
      <c r="Q681" t="s">
        <v>240</v>
      </c>
    </row>
    <row r="682" spans="1:17" x14ac:dyDescent="0.3">
      <c r="A682" s="1">
        <v>681</v>
      </c>
      <c r="B682" s="2">
        <v>5.8680555555555555E-2</v>
      </c>
      <c r="C682" s="2"/>
      <c r="D682" s="1" t="s">
        <v>20</v>
      </c>
      <c r="F682" s="1" t="s">
        <v>16</v>
      </c>
      <c r="G682" s="1" t="s">
        <v>13</v>
      </c>
      <c r="L682">
        <v>5</v>
      </c>
      <c r="M682">
        <v>10</v>
      </c>
      <c r="N682">
        <v>52.807499999999997</v>
      </c>
      <c r="O682">
        <f t="shared" si="1"/>
        <v>5.1813354166666672</v>
      </c>
      <c r="P682" s="1">
        <v>-10.843229300000001</v>
      </c>
      <c r="Q682" t="s">
        <v>240</v>
      </c>
    </row>
    <row r="683" spans="1:17" x14ac:dyDescent="0.3">
      <c r="A683" s="1">
        <v>682</v>
      </c>
      <c r="B683" s="2">
        <v>6.9444444444444448E-2</v>
      </c>
      <c r="C683" s="2"/>
      <c r="D683" s="1" t="s">
        <v>20</v>
      </c>
      <c r="F683" s="1" t="s">
        <v>16</v>
      </c>
      <c r="G683" s="1" t="s">
        <v>13</v>
      </c>
      <c r="L683">
        <v>5</v>
      </c>
      <c r="M683">
        <v>11</v>
      </c>
      <c r="N683">
        <v>13.0549</v>
      </c>
      <c r="O683">
        <f t="shared" si="1"/>
        <v>5.1869596944444449</v>
      </c>
      <c r="P683" s="1">
        <v>-3.8437285000000001</v>
      </c>
      <c r="Q683" t="s">
        <v>240</v>
      </c>
    </row>
    <row r="684" spans="1:17" x14ac:dyDescent="0.3">
      <c r="A684" s="1">
        <v>683</v>
      </c>
      <c r="B684" s="2">
        <v>0.33333333333333331</v>
      </c>
      <c r="C684" s="2"/>
      <c r="D684" s="1" t="s">
        <v>130</v>
      </c>
      <c r="F684" s="1" t="s">
        <v>164</v>
      </c>
      <c r="G684" s="1" t="s">
        <v>28</v>
      </c>
      <c r="L684">
        <v>4</v>
      </c>
      <c r="M684">
        <v>46</v>
      </c>
      <c r="N684">
        <v>13.5261</v>
      </c>
      <c r="O684">
        <f t="shared" si="1"/>
        <v>4.7704239166666662</v>
      </c>
      <c r="P684" s="1">
        <v>-3.7708200999999999</v>
      </c>
      <c r="Q684" t="s">
        <v>240</v>
      </c>
    </row>
    <row r="685" spans="1:17" x14ac:dyDescent="0.3">
      <c r="A685" s="1">
        <v>684</v>
      </c>
      <c r="B685" s="2">
        <v>0.34861111111111109</v>
      </c>
      <c r="C685" s="2"/>
      <c r="D685" s="1" t="s">
        <v>130</v>
      </c>
      <c r="F685" s="1" t="s">
        <v>164</v>
      </c>
      <c r="G685" s="1" t="s">
        <v>28</v>
      </c>
      <c r="L685">
        <v>4</v>
      </c>
      <c r="M685">
        <v>46</v>
      </c>
      <c r="N685">
        <v>24.555299999999999</v>
      </c>
      <c r="O685">
        <f t="shared" si="1"/>
        <v>4.773487583333333</v>
      </c>
      <c r="P685" s="1">
        <v>0.22891619999999999</v>
      </c>
      <c r="Q685" t="s">
        <v>240</v>
      </c>
    </row>
    <row r="686" spans="1:17" x14ac:dyDescent="0.3">
      <c r="A686" s="1">
        <v>685</v>
      </c>
      <c r="B686" s="2">
        <v>0.34861111111111109</v>
      </c>
      <c r="C686" s="2"/>
      <c r="D686" s="1" t="s">
        <v>27</v>
      </c>
      <c r="F686" s="1" t="s">
        <v>164</v>
      </c>
      <c r="G686" s="1" t="s">
        <v>26</v>
      </c>
      <c r="H686" s="1" t="s">
        <v>28</v>
      </c>
    </row>
    <row r="687" spans="1:17" x14ac:dyDescent="0.3">
      <c r="A687" s="1">
        <v>694</v>
      </c>
      <c r="B687" s="2">
        <v>0.76041666666666663</v>
      </c>
      <c r="C687" s="2"/>
      <c r="D687" s="1" t="s">
        <v>55</v>
      </c>
      <c r="F687" s="1" t="s">
        <v>76</v>
      </c>
      <c r="G687" s="1" t="s">
        <v>64</v>
      </c>
    </row>
    <row r="688" spans="1:17" x14ac:dyDescent="0.3">
      <c r="A688" s="1">
        <v>686</v>
      </c>
      <c r="B688" s="2">
        <v>0.80208333333333337</v>
      </c>
      <c r="C688" s="2"/>
      <c r="D688" s="1" t="s">
        <v>261</v>
      </c>
      <c r="F688" s="1" t="s">
        <v>70</v>
      </c>
      <c r="G688" s="1" t="s">
        <v>219</v>
      </c>
    </row>
    <row r="689" spans="1:8" x14ac:dyDescent="0.3">
      <c r="A689" s="1">
        <v>687</v>
      </c>
      <c r="B689" s="2">
        <v>0.80208333333333337</v>
      </c>
      <c r="C689" s="2"/>
      <c r="D689" s="1" t="s">
        <v>286</v>
      </c>
      <c r="F689" s="1" t="s">
        <v>70</v>
      </c>
      <c r="G689" s="1" t="s">
        <v>219</v>
      </c>
    </row>
    <row r="690" spans="1:8" x14ac:dyDescent="0.3">
      <c r="A690" s="1">
        <v>688</v>
      </c>
      <c r="B690" s="2">
        <v>0.82638888888888884</v>
      </c>
      <c r="C690" s="2"/>
      <c r="D690" s="1" t="s">
        <v>286</v>
      </c>
      <c r="F690" s="1" t="s">
        <v>70</v>
      </c>
      <c r="G690" s="1" t="s">
        <v>219</v>
      </c>
    </row>
    <row r="691" spans="1:8" x14ac:dyDescent="0.3">
      <c r="A691" s="1">
        <v>689</v>
      </c>
      <c r="B691" s="2">
        <v>0.82638888888888884</v>
      </c>
      <c r="C691" s="2"/>
      <c r="D691" s="1" t="s">
        <v>287</v>
      </c>
      <c r="F691" s="1" t="s">
        <v>70</v>
      </c>
      <c r="G691" s="1" t="s">
        <v>219</v>
      </c>
    </row>
    <row r="692" spans="1:8" x14ac:dyDescent="0.3">
      <c r="A692" s="1">
        <v>690</v>
      </c>
      <c r="B692" s="2">
        <v>0.84375</v>
      </c>
      <c r="C692" s="2"/>
      <c r="D692" s="1" t="s">
        <v>287</v>
      </c>
      <c r="F692" s="1" t="s">
        <v>70</v>
      </c>
      <c r="G692" s="1" t="s">
        <v>219</v>
      </c>
    </row>
    <row r="693" spans="1:8" x14ac:dyDescent="0.3">
      <c r="A693" s="1">
        <v>691</v>
      </c>
      <c r="B693" s="2">
        <v>0.78611111111111109</v>
      </c>
      <c r="C693" s="2"/>
      <c r="D693" s="1" t="s">
        <v>279</v>
      </c>
      <c r="F693" s="1" t="s">
        <v>75</v>
      </c>
      <c r="G693" s="1" t="s">
        <v>76</v>
      </c>
    </row>
    <row r="694" spans="1:8" x14ac:dyDescent="0.3">
      <c r="A694" s="1">
        <v>692</v>
      </c>
      <c r="B694" s="2">
        <v>0.76041666666666663</v>
      </c>
      <c r="C694" s="2"/>
      <c r="D694" s="1" t="s">
        <v>279</v>
      </c>
      <c r="F694" s="1" t="s">
        <v>75</v>
      </c>
      <c r="G694" s="1" t="s">
        <v>76</v>
      </c>
      <c r="H694" s="1" t="s">
        <v>64</v>
      </c>
    </row>
    <row r="695" spans="1:8" x14ac:dyDescent="0.3">
      <c r="A695" s="1">
        <v>693</v>
      </c>
      <c r="B695" s="2">
        <v>0.74305555555555558</v>
      </c>
      <c r="C695" s="2"/>
      <c r="D695" s="1" t="s">
        <v>134</v>
      </c>
      <c r="F695" s="1" t="s">
        <v>75</v>
      </c>
      <c r="G695" s="1" t="s">
        <v>80</v>
      </c>
    </row>
  </sheetData>
  <sortState xmlns:xlrd2="http://schemas.microsoft.com/office/spreadsheetml/2017/richdata2" ref="A2:H695">
    <sortCondition ref="F2:F6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55AA-A32A-4536-9941-49EC724143F1}">
  <dimension ref="A1:F89"/>
  <sheetViews>
    <sheetView workbookViewId="0">
      <pane xSplit="9" ySplit="14" topLeftCell="J15" activePane="bottomRight" state="frozen"/>
      <selection pane="topRight" activeCell="J1" sqref="J1"/>
      <selection pane="bottomLeft" activeCell="A15" sqref="A15"/>
      <selection pane="bottomRight" activeCell="C10" sqref="C10"/>
    </sheetView>
  </sheetViews>
  <sheetFormatPr defaultRowHeight="14.4" x14ac:dyDescent="0.3"/>
  <cols>
    <col min="1" max="1" width="17" bestFit="1" customWidth="1"/>
    <col min="3" max="3" width="26" bestFit="1" customWidth="1"/>
  </cols>
  <sheetData>
    <row r="1" spans="1:6" s="4" customFormat="1" x14ac:dyDescent="0.3">
      <c r="A1" s="4" t="s">
        <v>294</v>
      </c>
      <c r="B1" s="4" t="s">
        <v>295</v>
      </c>
      <c r="C1" s="4" t="s">
        <v>296</v>
      </c>
      <c r="D1" s="4" t="s">
        <v>297</v>
      </c>
      <c r="E1" s="4" t="s">
        <v>298</v>
      </c>
      <c r="F1" s="4" t="s">
        <v>299</v>
      </c>
    </row>
    <row r="2" spans="1:6" x14ac:dyDescent="0.3">
      <c r="A2" t="s">
        <v>300</v>
      </c>
      <c r="B2" t="s">
        <v>301</v>
      </c>
      <c r="C2" t="s">
        <v>302</v>
      </c>
      <c r="D2">
        <v>722.27800000000002</v>
      </c>
      <c r="E2" t="s">
        <v>303</v>
      </c>
      <c r="F2" t="s">
        <v>304</v>
      </c>
    </row>
    <row r="3" spans="1:6" x14ac:dyDescent="0.3">
      <c r="A3" t="s">
        <v>305</v>
      </c>
      <c r="B3" t="s">
        <v>306</v>
      </c>
      <c r="C3" t="s">
        <v>307</v>
      </c>
      <c r="D3">
        <v>238.90100000000001</v>
      </c>
      <c r="E3" t="s">
        <v>308</v>
      </c>
      <c r="F3" t="s">
        <v>309</v>
      </c>
    </row>
    <row r="4" spans="1:6" x14ac:dyDescent="0.3">
      <c r="A4" t="s">
        <v>310</v>
      </c>
      <c r="B4" t="s">
        <v>311</v>
      </c>
      <c r="C4" t="s">
        <v>312</v>
      </c>
      <c r="D4">
        <v>206.327</v>
      </c>
      <c r="E4" t="s">
        <v>313</v>
      </c>
      <c r="F4" t="s">
        <v>314</v>
      </c>
    </row>
    <row r="5" spans="1:6" x14ac:dyDescent="0.3">
      <c r="A5" t="s">
        <v>315</v>
      </c>
      <c r="B5" t="s">
        <v>316</v>
      </c>
      <c r="C5" t="s">
        <v>317</v>
      </c>
      <c r="D5">
        <v>979.85400000000004</v>
      </c>
      <c r="E5" t="s">
        <v>318</v>
      </c>
      <c r="F5" t="s">
        <v>319</v>
      </c>
    </row>
    <row r="6" spans="1:6" x14ac:dyDescent="0.3">
      <c r="A6" t="s">
        <v>320</v>
      </c>
      <c r="B6" t="s">
        <v>321</v>
      </c>
      <c r="C6" t="s">
        <v>322</v>
      </c>
      <c r="D6">
        <v>652.47299999999996</v>
      </c>
      <c r="E6" t="s">
        <v>323</v>
      </c>
      <c r="F6" t="s">
        <v>324</v>
      </c>
    </row>
    <row r="7" spans="1:6" x14ac:dyDescent="0.3">
      <c r="A7" t="s">
        <v>325</v>
      </c>
      <c r="B7" t="s">
        <v>325</v>
      </c>
      <c r="C7" t="s">
        <v>326</v>
      </c>
      <c r="D7">
        <v>237.05699999999999</v>
      </c>
      <c r="E7" t="s">
        <v>313</v>
      </c>
      <c r="F7" t="s">
        <v>327</v>
      </c>
    </row>
    <row r="8" spans="1:6" x14ac:dyDescent="0.3">
      <c r="A8" t="s">
        <v>328</v>
      </c>
      <c r="B8" t="s">
        <v>329</v>
      </c>
      <c r="C8" t="s">
        <v>330</v>
      </c>
      <c r="D8">
        <v>441.39499999999998</v>
      </c>
      <c r="E8" t="s">
        <v>303</v>
      </c>
      <c r="F8" t="s">
        <v>331</v>
      </c>
    </row>
    <row r="9" spans="1:6" x14ac:dyDescent="0.3">
      <c r="A9" t="s">
        <v>332</v>
      </c>
      <c r="B9" t="s">
        <v>333</v>
      </c>
      <c r="C9" t="s">
        <v>334</v>
      </c>
      <c r="D9">
        <v>657.43799999999999</v>
      </c>
      <c r="E9" t="s">
        <v>335</v>
      </c>
      <c r="F9" t="s">
        <v>304</v>
      </c>
    </row>
    <row r="10" spans="1:6" x14ac:dyDescent="0.3">
      <c r="A10" t="s">
        <v>336</v>
      </c>
      <c r="B10" t="s">
        <v>337</v>
      </c>
      <c r="C10" t="s">
        <v>338</v>
      </c>
      <c r="D10">
        <v>906.83100000000002</v>
      </c>
      <c r="E10" t="s">
        <v>339</v>
      </c>
      <c r="F10" t="s">
        <v>340</v>
      </c>
    </row>
    <row r="11" spans="1:6" x14ac:dyDescent="0.3">
      <c r="A11" t="s">
        <v>341</v>
      </c>
      <c r="B11" t="s">
        <v>342</v>
      </c>
      <c r="C11" t="s">
        <v>343</v>
      </c>
      <c r="D11">
        <v>124.86499999999999</v>
      </c>
      <c r="E11" t="s">
        <v>344</v>
      </c>
      <c r="F11" t="s">
        <v>345</v>
      </c>
    </row>
    <row r="12" spans="1:6" x14ac:dyDescent="0.3">
      <c r="A12" t="s">
        <v>346</v>
      </c>
      <c r="B12" t="s">
        <v>347</v>
      </c>
      <c r="C12" t="s">
        <v>348</v>
      </c>
      <c r="D12">
        <v>756.82799999999997</v>
      </c>
      <c r="E12" t="s">
        <v>335</v>
      </c>
      <c r="F12" t="s">
        <v>349</v>
      </c>
    </row>
    <row r="13" spans="1:6" x14ac:dyDescent="0.3">
      <c r="A13" t="s">
        <v>350</v>
      </c>
      <c r="B13" t="s">
        <v>351</v>
      </c>
      <c r="C13" t="s">
        <v>352</v>
      </c>
      <c r="D13">
        <v>505.87200000000001</v>
      </c>
      <c r="E13" t="s">
        <v>335</v>
      </c>
      <c r="F13" t="s">
        <v>331</v>
      </c>
    </row>
    <row r="14" spans="1:6" x14ac:dyDescent="0.3">
      <c r="A14" t="s">
        <v>353</v>
      </c>
      <c r="B14" t="s">
        <v>354</v>
      </c>
      <c r="C14" t="s">
        <v>355</v>
      </c>
      <c r="D14">
        <v>465.19400000000002</v>
      </c>
      <c r="E14" t="s">
        <v>339</v>
      </c>
      <c r="F14" t="s">
        <v>304</v>
      </c>
    </row>
    <row r="15" spans="1:6" x14ac:dyDescent="0.3">
      <c r="A15" t="s">
        <v>356</v>
      </c>
      <c r="B15" t="s">
        <v>357</v>
      </c>
      <c r="C15" t="s">
        <v>358</v>
      </c>
      <c r="D15">
        <v>380.11799999999999</v>
      </c>
      <c r="E15" t="s">
        <v>308</v>
      </c>
      <c r="F15" t="s">
        <v>359</v>
      </c>
    </row>
    <row r="16" spans="1:6" x14ac:dyDescent="0.3">
      <c r="A16" t="s">
        <v>360</v>
      </c>
      <c r="B16" t="s">
        <v>361</v>
      </c>
      <c r="C16" t="s">
        <v>362</v>
      </c>
      <c r="D16">
        <v>183.36699999999999</v>
      </c>
      <c r="E16" t="s">
        <v>335</v>
      </c>
      <c r="F16" t="s">
        <v>324</v>
      </c>
    </row>
    <row r="17" spans="1:6" x14ac:dyDescent="0.3">
      <c r="A17" t="s">
        <v>363</v>
      </c>
      <c r="B17" t="s">
        <v>364</v>
      </c>
      <c r="C17" t="s">
        <v>365</v>
      </c>
      <c r="D17">
        <v>413.947</v>
      </c>
      <c r="E17" t="s">
        <v>318</v>
      </c>
      <c r="F17" t="s">
        <v>359</v>
      </c>
    </row>
    <row r="18" spans="1:6" x14ac:dyDescent="0.3">
      <c r="A18" t="s">
        <v>366</v>
      </c>
      <c r="B18" t="s">
        <v>367</v>
      </c>
      <c r="C18" t="s">
        <v>368</v>
      </c>
      <c r="D18">
        <v>494.18400000000003</v>
      </c>
      <c r="E18" t="s">
        <v>308</v>
      </c>
      <c r="F18" t="s">
        <v>369</v>
      </c>
    </row>
    <row r="19" spans="1:6" x14ac:dyDescent="0.3">
      <c r="A19" t="s">
        <v>370</v>
      </c>
      <c r="B19" t="s">
        <v>371</v>
      </c>
      <c r="C19" t="s">
        <v>372</v>
      </c>
      <c r="D19">
        <v>598.40700000000004</v>
      </c>
      <c r="E19" t="s">
        <v>303</v>
      </c>
      <c r="F19" t="s">
        <v>373</v>
      </c>
    </row>
    <row r="20" spans="1:6" x14ac:dyDescent="0.3">
      <c r="A20" t="s">
        <v>374</v>
      </c>
      <c r="B20" t="s">
        <v>375</v>
      </c>
      <c r="C20" t="s">
        <v>376</v>
      </c>
      <c r="D20">
        <v>1060.422</v>
      </c>
      <c r="E20" t="s">
        <v>313</v>
      </c>
      <c r="F20" t="s">
        <v>327</v>
      </c>
    </row>
    <row r="21" spans="1:6" x14ac:dyDescent="0.3">
      <c r="A21" t="s">
        <v>377</v>
      </c>
      <c r="B21" t="s">
        <v>378</v>
      </c>
      <c r="C21" t="s">
        <v>379</v>
      </c>
      <c r="D21">
        <v>587.78700000000003</v>
      </c>
      <c r="E21" t="s">
        <v>323</v>
      </c>
      <c r="F21" t="s">
        <v>349</v>
      </c>
    </row>
    <row r="22" spans="1:6" x14ac:dyDescent="0.3">
      <c r="A22" t="s">
        <v>380</v>
      </c>
      <c r="B22" t="s">
        <v>381</v>
      </c>
      <c r="C22" t="s">
        <v>382</v>
      </c>
      <c r="D22">
        <v>1231.4110000000001</v>
      </c>
      <c r="E22" t="s">
        <v>344</v>
      </c>
      <c r="F22" t="s">
        <v>383</v>
      </c>
    </row>
    <row r="23" spans="1:6" x14ac:dyDescent="0.3">
      <c r="A23" t="s">
        <v>384</v>
      </c>
      <c r="B23" t="s">
        <v>385</v>
      </c>
      <c r="C23" t="s">
        <v>386</v>
      </c>
      <c r="D23">
        <v>131.59200000000001</v>
      </c>
      <c r="E23" t="s">
        <v>308</v>
      </c>
      <c r="F23" t="s">
        <v>387</v>
      </c>
    </row>
    <row r="24" spans="1:6" x14ac:dyDescent="0.3">
      <c r="A24" t="s">
        <v>388</v>
      </c>
      <c r="B24" t="s">
        <v>389</v>
      </c>
      <c r="C24" t="s">
        <v>390</v>
      </c>
      <c r="D24">
        <v>93.352999999999994</v>
      </c>
      <c r="E24" t="s">
        <v>313</v>
      </c>
      <c r="F24" t="s">
        <v>391</v>
      </c>
    </row>
    <row r="25" spans="1:6" x14ac:dyDescent="0.3">
      <c r="A25" t="s">
        <v>392</v>
      </c>
      <c r="B25" t="s">
        <v>393</v>
      </c>
      <c r="C25" t="s">
        <v>394</v>
      </c>
      <c r="D25">
        <v>270.18400000000003</v>
      </c>
      <c r="E25" t="s">
        <v>344</v>
      </c>
      <c r="F25" t="s">
        <v>309</v>
      </c>
    </row>
    <row r="26" spans="1:6" x14ac:dyDescent="0.3">
      <c r="A26" t="s">
        <v>395</v>
      </c>
      <c r="B26" t="s">
        <v>396</v>
      </c>
      <c r="C26" t="s">
        <v>397</v>
      </c>
      <c r="D26">
        <v>386.47500000000002</v>
      </c>
      <c r="E26" t="s">
        <v>339</v>
      </c>
      <c r="F26" t="s">
        <v>398</v>
      </c>
    </row>
    <row r="27" spans="1:6" x14ac:dyDescent="0.3">
      <c r="A27" t="s">
        <v>399</v>
      </c>
      <c r="B27" t="s">
        <v>400</v>
      </c>
      <c r="C27" t="s">
        <v>401</v>
      </c>
      <c r="D27">
        <v>127.696</v>
      </c>
      <c r="E27" t="s">
        <v>318</v>
      </c>
      <c r="F27" t="s">
        <v>345</v>
      </c>
    </row>
    <row r="28" spans="1:6" x14ac:dyDescent="0.3">
      <c r="A28" t="s">
        <v>402</v>
      </c>
      <c r="B28" t="s">
        <v>403</v>
      </c>
      <c r="C28" t="s">
        <v>404</v>
      </c>
      <c r="D28">
        <v>178.71</v>
      </c>
      <c r="E28" t="s">
        <v>339</v>
      </c>
      <c r="F28" t="s">
        <v>340</v>
      </c>
    </row>
    <row r="29" spans="1:6" x14ac:dyDescent="0.3">
      <c r="A29" t="s">
        <v>405</v>
      </c>
      <c r="B29" t="s">
        <v>406</v>
      </c>
      <c r="C29" t="s">
        <v>407</v>
      </c>
      <c r="D29">
        <v>183.80099999999999</v>
      </c>
      <c r="E29" t="s">
        <v>313</v>
      </c>
      <c r="F29" t="s">
        <v>359</v>
      </c>
    </row>
    <row r="30" spans="1:6" x14ac:dyDescent="0.3">
      <c r="A30" t="s">
        <v>408</v>
      </c>
      <c r="B30" t="s">
        <v>409</v>
      </c>
      <c r="C30" t="s">
        <v>410</v>
      </c>
      <c r="D30">
        <v>282.39800000000002</v>
      </c>
      <c r="E30" t="s">
        <v>308</v>
      </c>
      <c r="F30" t="s">
        <v>319</v>
      </c>
    </row>
    <row r="31" spans="1:6" x14ac:dyDescent="0.3">
      <c r="A31" t="s">
        <v>411</v>
      </c>
      <c r="B31" t="s">
        <v>412</v>
      </c>
      <c r="C31" t="s">
        <v>413</v>
      </c>
      <c r="D31">
        <v>68.447000000000003</v>
      </c>
      <c r="E31" t="s">
        <v>313</v>
      </c>
      <c r="F31" t="s">
        <v>369</v>
      </c>
    </row>
    <row r="32" spans="1:6" x14ac:dyDescent="0.3">
      <c r="A32" t="s">
        <v>414</v>
      </c>
      <c r="B32" t="s">
        <v>415</v>
      </c>
      <c r="C32" t="s">
        <v>416</v>
      </c>
      <c r="D32">
        <v>803.98299999999995</v>
      </c>
      <c r="E32" t="s">
        <v>323</v>
      </c>
      <c r="F32" t="s">
        <v>304</v>
      </c>
    </row>
    <row r="33" spans="1:6" x14ac:dyDescent="0.3">
      <c r="A33" t="s">
        <v>417</v>
      </c>
      <c r="B33" t="s">
        <v>418</v>
      </c>
      <c r="C33" t="s">
        <v>419</v>
      </c>
      <c r="D33">
        <v>188.54900000000001</v>
      </c>
      <c r="E33" t="s">
        <v>323</v>
      </c>
      <c r="F33" t="s">
        <v>398</v>
      </c>
    </row>
    <row r="34" spans="1:6" x14ac:dyDescent="0.3">
      <c r="A34" t="s">
        <v>420</v>
      </c>
      <c r="B34" t="s">
        <v>421</v>
      </c>
      <c r="C34" t="s">
        <v>422</v>
      </c>
      <c r="D34">
        <v>179.173</v>
      </c>
      <c r="E34" t="s">
        <v>344</v>
      </c>
      <c r="F34" t="s">
        <v>369</v>
      </c>
    </row>
    <row r="35" spans="1:6" x14ac:dyDescent="0.3">
      <c r="A35" t="s">
        <v>423</v>
      </c>
      <c r="B35" t="s">
        <v>424</v>
      </c>
      <c r="C35" t="s">
        <v>425</v>
      </c>
      <c r="D35">
        <v>1082.952</v>
      </c>
      <c r="E35" t="s">
        <v>339</v>
      </c>
      <c r="F35" t="s">
        <v>426</v>
      </c>
    </row>
    <row r="36" spans="1:6" x14ac:dyDescent="0.3">
      <c r="A36" t="s">
        <v>427</v>
      </c>
      <c r="B36" t="s">
        <v>428</v>
      </c>
      <c r="C36" t="s">
        <v>429</v>
      </c>
      <c r="D36">
        <v>71.641000000000005</v>
      </c>
      <c r="E36" t="s">
        <v>323</v>
      </c>
      <c r="F36" t="s">
        <v>430</v>
      </c>
    </row>
    <row r="37" spans="1:6" x14ac:dyDescent="0.3">
      <c r="A37" t="s">
        <v>431</v>
      </c>
      <c r="B37" t="s">
        <v>432</v>
      </c>
      <c r="C37" t="s">
        <v>433</v>
      </c>
      <c r="D37">
        <v>1137.9190000000001</v>
      </c>
      <c r="E37" t="s">
        <v>344</v>
      </c>
      <c r="F37" t="s">
        <v>434</v>
      </c>
    </row>
    <row r="38" spans="1:6" x14ac:dyDescent="0.3">
      <c r="A38" t="s">
        <v>435</v>
      </c>
      <c r="B38" t="s">
        <v>436</v>
      </c>
      <c r="C38" t="s">
        <v>437</v>
      </c>
      <c r="D38">
        <v>397.50200000000001</v>
      </c>
      <c r="E38" t="s">
        <v>344</v>
      </c>
      <c r="F38" t="s">
        <v>438</v>
      </c>
    </row>
    <row r="39" spans="1:6" x14ac:dyDescent="0.3">
      <c r="A39" t="s">
        <v>439</v>
      </c>
      <c r="B39" t="s">
        <v>440</v>
      </c>
      <c r="C39" t="s">
        <v>441</v>
      </c>
      <c r="D39">
        <v>513.76099999999997</v>
      </c>
      <c r="E39" t="s">
        <v>335</v>
      </c>
      <c r="F39" t="s">
        <v>331</v>
      </c>
    </row>
    <row r="40" spans="1:6" x14ac:dyDescent="0.3">
      <c r="A40" t="s">
        <v>442</v>
      </c>
      <c r="B40" t="s">
        <v>443</v>
      </c>
      <c r="C40" t="s">
        <v>444</v>
      </c>
      <c r="D40">
        <v>365.51299999999998</v>
      </c>
      <c r="E40" t="s">
        <v>318</v>
      </c>
      <c r="F40" t="s">
        <v>445</v>
      </c>
    </row>
    <row r="41" spans="1:6" x14ac:dyDescent="0.3">
      <c r="A41" t="s">
        <v>446</v>
      </c>
      <c r="B41" t="s">
        <v>447</v>
      </c>
      <c r="C41" t="s">
        <v>446</v>
      </c>
      <c r="D41">
        <v>1225.1479999999999</v>
      </c>
      <c r="E41" t="s">
        <v>339</v>
      </c>
      <c r="F41" t="s">
        <v>340</v>
      </c>
    </row>
    <row r="42" spans="1:6" x14ac:dyDescent="0.3">
      <c r="A42" t="s">
        <v>448</v>
      </c>
      <c r="B42" t="s">
        <v>449</v>
      </c>
      <c r="C42" t="s">
        <v>450</v>
      </c>
      <c r="D42">
        <v>248.88499999999999</v>
      </c>
      <c r="E42" t="s">
        <v>344</v>
      </c>
      <c r="F42" t="s">
        <v>391</v>
      </c>
    </row>
    <row r="43" spans="1:6" x14ac:dyDescent="0.3">
      <c r="A43" t="s">
        <v>451</v>
      </c>
      <c r="B43" t="s">
        <v>452</v>
      </c>
      <c r="C43" t="s">
        <v>453</v>
      </c>
      <c r="D43">
        <v>1302.8440000000001</v>
      </c>
      <c r="E43" t="s">
        <v>308</v>
      </c>
      <c r="F43" t="s">
        <v>454</v>
      </c>
    </row>
    <row r="44" spans="1:6" x14ac:dyDescent="0.3">
      <c r="A44" t="s">
        <v>455</v>
      </c>
      <c r="B44" t="s">
        <v>456</v>
      </c>
      <c r="C44" t="s">
        <v>457</v>
      </c>
      <c r="D44">
        <v>243.035</v>
      </c>
      <c r="E44" t="s">
        <v>344</v>
      </c>
      <c r="F44" t="s">
        <v>458</v>
      </c>
    </row>
    <row r="45" spans="1:6" x14ac:dyDescent="0.3">
      <c r="A45" t="s">
        <v>459</v>
      </c>
      <c r="B45" t="s">
        <v>460</v>
      </c>
      <c r="C45" t="s">
        <v>461</v>
      </c>
      <c r="D45">
        <v>294.00599999999997</v>
      </c>
      <c r="E45" t="s">
        <v>318</v>
      </c>
      <c r="F45" t="s">
        <v>462</v>
      </c>
    </row>
    <row r="46" spans="1:6" x14ac:dyDescent="0.3">
      <c r="A46" t="s">
        <v>463</v>
      </c>
      <c r="B46" t="s">
        <v>464</v>
      </c>
      <c r="C46" t="s">
        <v>465</v>
      </c>
      <c r="D46">
        <v>200.68799999999999</v>
      </c>
      <c r="E46" t="s">
        <v>323</v>
      </c>
      <c r="F46" t="s">
        <v>304</v>
      </c>
    </row>
    <row r="47" spans="1:6" x14ac:dyDescent="0.3">
      <c r="A47" t="s">
        <v>466</v>
      </c>
      <c r="B47" t="s">
        <v>466</v>
      </c>
      <c r="C47" t="s">
        <v>467</v>
      </c>
      <c r="D47">
        <v>946.96400000000006</v>
      </c>
      <c r="E47" t="s">
        <v>335</v>
      </c>
      <c r="F47" t="s">
        <v>468</v>
      </c>
    </row>
    <row r="48" spans="1:6" x14ac:dyDescent="0.3">
      <c r="A48" t="s">
        <v>469</v>
      </c>
      <c r="B48" t="s">
        <v>470</v>
      </c>
      <c r="C48" t="s">
        <v>471</v>
      </c>
      <c r="D48">
        <v>231.95599999999999</v>
      </c>
      <c r="E48" t="s">
        <v>335</v>
      </c>
      <c r="F48" t="s">
        <v>472</v>
      </c>
    </row>
    <row r="49" spans="1:6" x14ac:dyDescent="0.3">
      <c r="A49" t="s">
        <v>473</v>
      </c>
      <c r="B49" t="s">
        <v>474</v>
      </c>
      <c r="C49" t="s">
        <v>475</v>
      </c>
      <c r="D49">
        <v>290.291</v>
      </c>
      <c r="E49" t="s">
        <v>344</v>
      </c>
      <c r="F49" t="s">
        <v>476</v>
      </c>
    </row>
    <row r="50" spans="1:6" x14ac:dyDescent="0.3">
      <c r="A50" t="s">
        <v>477</v>
      </c>
      <c r="B50" t="s">
        <v>478</v>
      </c>
      <c r="C50" t="s">
        <v>479</v>
      </c>
      <c r="D50">
        <v>538.05200000000002</v>
      </c>
      <c r="E50" t="s">
        <v>313</v>
      </c>
      <c r="F50" t="s">
        <v>319</v>
      </c>
    </row>
    <row r="51" spans="1:6" x14ac:dyDescent="0.3">
      <c r="A51" t="s">
        <v>480</v>
      </c>
      <c r="B51" t="s">
        <v>481</v>
      </c>
      <c r="C51" t="s">
        <v>482</v>
      </c>
      <c r="D51">
        <v>333.68299999999999</v>
      </c>
      <c r="E51" t="s">
        <v>313</v>
      </c>
      <c r="F51" t="s">
        <v>483</v>
      </c>
    </row>
    <row r="52" spans="1:6" x14ac:dyDescent="0.3">
      <c r="A52" t="s">
        <v>484</v>
      </c>
      <c r="B52" t="s">
        <v>485</v>
      </c>
      <c r="C52" t="s">
        <v>484</v>
      </c>
      <c r="D52">
        <v>545.38599999999997</v>
      </c>
      <c r="E52" t="s">
        <v>335</v>
      </c>
      <c r="F52" t="s">
        <v>486</v>
      </c>
    </row>
    <row r="53" spans="1:6" x14ac:dyDescent="0.3">
      <c r="A53" t="s">
        <v>487</v>
      </c>
      <c r="B53" t="s">
        <v>488</v>
      </c>
      <c r="C53" t="s">
        <v>489</v>
      </c>
      <c r="D53">
        <v>286.476</v>
      </c>
      <c r="E53" t="s">
        <v>323</v>
      </c>
      <c r="F53" t="s">
        <v>304</v>
      </c>
    </row>
    <row r="54" spans="1:6" x14ac:dyDescent="0.3">
      <c r="A54" t="s">
        <v>490</v>
      </c>
      <c r="B54" t="s">
        <v>491</v>
      </c>
      <c r="C54" t="s">
        <v>492</v>
      </c>
      <c r="D54">
        <v>153.48400000000001</v>
      </c>
      <c r="E54" t="s">
        <v>344</v>
      </c>
      <c r="F54" t="s">
        <v>493</v>
      </c>
    </row>
    <row r="55" spans="1:6" x14ac:dyDescent="0.3">
      <c r="A55" t="s">
        <v>494</v>
      </c>
      <c r="B55" t="s">
        <v>495</v>
      </c>
      <c r="C55" t="s">
        <v>496</v>
      </c>
      <c r="D55">
        <v>209.51300000000001</v>
      </c>
      <c r="E55" t="s">
        <v>318</v>
      </c>
      <c r="F55" t="s">
        <v>309</v>
      </c>
    </row>
    <row r="56" spans="1:6" x14ac:dyDescent="0.3">
      <c r="A56" t="s">
        <v>497</v>
      </c>
      <c r="B56" t="s">
        <v>498</v>
      </c>
      <c r="C56" t="s">
        <v>499</v>
      </c>
      <c r="D56">
        <v>481.56900000000002</v>
      </c>
      <c r="E56" t="s">
        <v>335</v>
      </c>
      <c r="F56" t="s">
        <v>500</v>
      </c>
    </row>
    <row r="57" spans="1:6" x14ac:dyDescent="0.3">
      <c r="A57" t="s">
        <v>501</v>
      </c>
      <c r="B57" t="s">
        <v>502</v>
      </c>
      <c r="C57" t="s">
        <v>503</v>
      </c>
      <c r="D57">
        <v>138.35499999999999</v>
      </c>
      <c r="E57" t="s">
        <v>313</v>
      </c>
      <c r="F57" t="s">
        <v>504</v>
      </c>
    </row>
    <row r="58" spans="1:6" x14ac:dyDescent="0.3">
      <c r="A58" t="s">
        <v>505</v>
      </c>
      <c r="B58" t="s">
        <v>506</v>
      </c>
      <c r="C58" t="s">
        <v>507</v>
      </c>
      <c r="D58">
        <v>165.29</v>
      </c>
      <c r="E58" t="s">
        <v>313</v>
      </c>
      <c r="F58" t="s">
        <v>391</v>
      </c>
    </row>
    <row r="59" spans="1:6" x14ac:dyDescent="0.3">
      <c r="A59" t="s">
        <v>508</v>
      </c>
      <c r="B59" t="s">
        <v>509</v>
      </c>
      <c r="C59" t="s">
        <v>510</v>
      </c>
      <c r="D59">
        <v>291.04500000000002</v>
      </c>
      <c r="E59" t="s">
        <v>318</v>
      </c>
      <c r="F59" t="s">
        <v>511</v>
      </c>
    </row>
    <row r="60" spans="1:6" x14ac:dyDescent="0.3">
      <c r="A60" t="s">
        <v>512</v>
      </c>
      <c r="B60" t="s">
        <v>513</v>
      </c>
      <c r="C60" t="s">
        <v>514</v>
      </c>
      <c r="D60">
        <v>948.34</v>
      </c>
      <c r="E60" t="s">
        <v>313</v>
      </c>
      <c r="F60" t="s">
        <v>515</v>
      </c>
    </row>
    <row r="61" spans="1:6" x14ac:dyDescent="0.3">
      <c r="A61" t="s">
        <v>516</v>
      </c>
      <c r="B61" t="s">
        <v>517</v>
      </c>
      <c r="C61" t="s">
        <v>518</v>
      </c>
      <c r="D61">
        <v>594.12</v>
      </c>
      <c r="E61" t="s">
        <v>303</v>
      </c>
      <c r="F61" t="s">
        <v>519</v>
      </c>
    </row>
    <row r="62" spans="1:6" x14ac:dyDescent="0.3">
      <c r="A62" t="s">
        <v>520</v>
      </c>
      <c r="B62" t="s">
        <v>521</v>
      </c>
      <c r="C62" t="s">
        <v>522</v>
      </c>
      <c r="D62">
        <v>377.666</v>
      </c>
      <c r="E62" t="s">
        <v>318</v>
      </c>
      <c r="F62" t="s">
        <v>391</v>
      </c>
    </row>
    <row r="63" spans="1:6" x14ac:dyDescent="0.3">
      <c r="A63" t="s">
        <v>523</v>
      </c>
      <c r="B63" t="s">
        <v>524</v>
      </c>
      <c r="C63" t="s">
        <v>523</v>
      </c>
      <c r="D63">
        <v>1120.7940000000001</v>
      </c>
      <c r="E63" t="s">
        <v>323</v>
      </c>
      <c r="F63" t="s">
        <v>331</v>
      </c>
    </row>
    <row r="64" spans="1:6" x14ac:dyDescent="0.3">
      <c r="A64" t="s">
        <v>525</v>
      </c>
      <c r="B64" t="s">
        <v>526</v>
      </c>
      <c r="C64" t="s">
        <v>525</v>
      </c>
      <c r="D64">
        <v>614.99699999999996</v>
      </c>
      <c r="E64" t="s">
        <v>303</v>
      </c>
      <c r="F64" t="s">
        <v>527</v>
      </c>
    </row>
    <row r="65" spans="1:6" x14ac:dyDescent="0.3">
      <c r="A65" t="s">
        <v>528</v>
      </c>
      <c r="B65" t="s">
        <v>529</v>
      </c>
      <c r="C65" t="s">
        <v>528</v>
      </c>
      <c r="D65">
        <v>469.31900000000002</v>
      </c>
      <c r="E65" t="s">
        <v>344</v>
      </c>
      <c r="F65" t="s">
        <v>530</v>
      </c>
    </row>
    <row r="66" spans="1:6" x14ac:dyDescent="0.3">
      <c r="A66" t="s">
        <v>531</v>
      </c>
      <c r="B66" t="s">
        <v>532</v>
      </c>
      <c r="C66" t="s">
        <v>533</v>
      </c>
      <c r="D66">
        <v>246.739</v>
      </c>
      <c r="E66" t="s">
        <v>344</v>
      </c>
      <c r="F66" t="s">
        <v>534</v>
      </c>
    </row>
    <row r="67" spans="1:6" x14ac:dyDescent="0.3">
      <c r="A67" t="s">
        <v>535</v>
      </c>
      <c r="B67" t="s">
        <v>536</v>
      </c>
      <c r="C67" t="s">
        <v>537</v>
      </c>
      <c r="D67">
        <v>889.41700000000003</v>
      </c>
      <c r="E67" t="s">
        <v>303</v>
      </c>
      <c r="F67" t="s">
        <v>468</v>
      </c>
    </row>
    <row r="68" spans="1:6" x14ac:dyDescent="0.3">
      <c r="A68" t="s">
        <v>538</v>
      </c>
      <c r="B68" t="s">
        <v>539</v>
      </c>
      <c r="C68" t="s">
        <v>540</v>
      </c>
      <c r="D68">
        <v>245.375</v>
      </c>
      <c r="E68" t="s">
        <v>318</v>
      </c>
      <c r="F68" t="s">
        <v>541</v>
      </c>
    </row>
    <row r="69" spans="1:6" x14ac:dyDescent="0.3">
      <c r="A69" t="s">
        <v>542</v>
      </c>
      <c r="B69" t="s">
        <v>543</v>
      </c>
      <c r="C69" t="s">
        <v>544</v>
      </c>
      <c r="D69">
        <v>673.43399999999997</v>
      </c>
      <c r="E69" t="s">
        <v>308</v>
      </c>
      <c r="F69" t="s">
        <v>345</v>
      </c>
    </row>
    <row r="70" spans="1:6" x14ac:dyDescent="0.3">
      <c r="A70" t="s">
        <v>545</v>
      </c>
      <c r="B70" t="s">
        <v>546</v>
      </c>
      <c r="C70" t="s">
        <v>547</v>
      </c>
      <c r="D70">
        <v>220.833</v>
      </c>
      <c r="E70" t="s">
        <v>308</v>
      </c>
      <c r="F70" t="s">
        <v>438</v>
      </c>
    </row>
    <row r="71" spans="1:6" x14ac:dyDescent="0.3">
      <c r="A71" t="s">
        <v>548</v>
      </c>
      <c r="B71" t="s">
        <v>549</v>
      </c>
      <c r="C71" t="s">
        <v>550</v>
      </c>
      <c r="D71">
        <v>113.93600000000001</v>
      </c>
      <c r="E71" t="s">
        <v>344</v>
      </c>
      <c r="F71" t="s">
        <v>551</v>
      </c>
    </row>
    <row r="72" spans="1:6" x14ac:dyDescent="0.3">
      <c r="A72" t="s">
        <v>552</v>
      </c>
      <c r="B72" t="s">
        <v>553</v>
      </c>
      <c r="C72" t="s">
        <v>554</v>
      </c>
      <c r="D72">
        <v>79.932000000000002</v>
      </c>
      <c r="E72" t="s">
        <v>323</v>
      </c>
      <c r="F72" t="s">
        <v>398</v>
      </c>
    </row>
    <row r="73" spans="1:6" x14ac:dyDescent="0.3">
      <c r="A73" t="s">
        <v>555</v>
      </c>
      <c r="B73" t="s">
        <v>556</v>
      </c>
      <c r="C73" t="s">
        <v>557</v>
      </c>
      <c r="D73">
        <v>867.43200000000002</v>
      </c>
      <c r="E73" t="s">
        <v>318</v>
      </c>
      <c r="F73" t="s">
        <v>541</v>
      </c>
    </row>
    <row r="74" spans="1:6" x14ac:dyDescent="0.3">
      <c r="A74" t="s">
        <v>558</v>
      </c>
      <c r="B74" t="s">
        <v>559</v>
      </c>
      <c r="C74" t="s">
        <v>560</v>
      </c>
      <c r="D74">
        <v>496.78300000000002</v>
      </c>
      <c r="E74" t="s">
        <v>313</v>
      </c>
      <c r="F74" t="s">
        <v>345</v>
      </c>
    </row>
    <row r="75" spans="1:6" x14ac:dyDescent="0.3">
      <c r="A75" t="s">
        <v>561</v>
      </c>
      <c r="B75" t="s">
        <v>562</v>
      </c>
      <c r="C75" t="s">
        <v>561</v>
      </c>
      <c r="D75">
        <v>474.76400000000001</v>
      </c>
      <c r="E75" t="s">
        <v>344</v>
      </c>
      <c r="F75" t="s">
        <v>438</v>
      </c>
    </row>
    <row r="76" spans="1:6" x14ac:dyDescent="0.3">
      <c r="A76" t="s">
        <v>563</v>
      </c>
      <c r="B76" t="s">
        <v>564</v>
      </c>
      <c r="C76" t="s">
        <v>565</v>
      </c>
      <c r="D76">
        <v>109.114</v>
      </c>
      <c r="E76" t="s">
        <v>318</v>
      </c>
      <c r="F76" t="s">
        <v>566</v>
      </c>
    </row>
    <row r="77" spans="1:6" x14ac:dyDescent="0.3">
      <c r="A77" t="s">
        <v>567</v>
      </c>
      <c r="B77" t="s">
        <v>568</v>
      </c>
      <c r="C77" t="s">
        <v>569</v>
      </c>
      <c r="D77">
        <v>636.928</v>
      </c>
      <c r="E77" t="s">
        <v>339</v>
      </c>
      <c r="F77" t="s">
        <v>515</v>
      </c>
    </row>
    <row r="78" spans="1:6" x14ac:dyDescent="0.3">
      <c r="A78" t="s">
        <v>570</v>
      </c>
      <c r="B78" t="s">
        <v>571</v>
      </c>
      <c r="C78" t="s">
        <v>572</v>
      </c>
      <c r="D78">
        <v>313.51499999999999</v>
      </c>
      <c r="E78" t="s">
        <v>308</v>
      </c>
      <c r="F78" t="s">
        <v>566</v>
      </c>
    </row>
    <row r="79" spans="1:6" x14ac:dyDescent="0.3">
      <c r="A79" t="s">
        <v>573</v>
      </c>
      <c r="B79" t="s">
        <v>574</v>
      </c>
      <c r="C79" t="s">
        <v>575</v>
      </c>
      <c r="D79">
        <v>797.24900000000002</v>
      </c>
      <c r="E79" t="s">
        <v>303</v>
      </c>
      <c r="F79" t="s">
        <v>468</v>
      </c>
    </row>
    <row r="80" spans="1:6" x14ac:dyDescent="0.3">
      <c r="A80" t="s">
        <v>576</v>
      </c>
      <c r="B80" t="s">
        <v>577</v>
      </c>
      <c r="C80" t="s">
        <v>578</v>
      </c>
      <c r="D80">
        <v>251.512</v>
      </c>
      <c r="E80" t="s">
        <v>318</v>
      </c>
      <c r="F80" t="s">
        <v>345</v>
      </c>
    </row>
    <row r="81" spans="1:6" x14ac:dyDescent="0.3">
      <c r="A81" t="s">
        <v>579</v>
      </c>
      <c r="B81" t="s">
        <v>580</v>
      </c>
      <c r="C81" t="s">
        <v>581</v>
      </c>
      <c r="D81">
        <v>131.84700000000001</v>
      </c>
      <c r="E81" t="s">
        <v>303</v>
      </c>
      <c r="F81" t="s">
        <v>331</v>
      </c>
    </row>
    <row r="82" spans="1:6" x14ac:dyDescent="0.3">
      <c r="A82" t="s">
        <v>582</v>
      </c>
      <c r="B82" t="s">
        <v>583</v>
      </c>
      <c r="C82" t="s">
        <v>584</v>
      </c>
      <c r="D82">
        <v>109.97799999999999</v>
      </c>
      <c r="E82" t="s">
        <v>313</v>
      </c>
      <c r="F82" t="s">
        <v>327</v>
      </c>
    </row>
    <row r="83" spans="1:6" x14ac:dyDescent="0.3">
      <c r="A83" t="s">
        <v>585</v>
      </c>
      <c r="B83" t="s">
        <v>586</v>
      </c>
      <c r="C83" t="s">
        <v>587</v>
      </c>
      <c r="D83">
        <v>294.55700000000002</v>
      </c>
      <c r="E83" t="s">
        <v>318</v>
      </c>
      <c r="F83" t="s">
        <v>327</v>
      </c>
    </row>
    <row r="84" spans="1:6" x14ac:dyDescent="0.3">
      <c r="A84" t="s">
        <v>588</v>
      </c>
      <c r="B84" t="s">
        <v>589</v>
      </c>
      <c r="C84" t="s">
        <v>590</v>
      </c>
      <c r="D84">
        <v>1279.6600000000001</v>
      </c>
      <c r="E84" t="s">
        <v>335</v>
      </c>
      <c r="F84" t="s">
        <v>591</v>
      </c>
    </row>
    <row r="85" spans="1:6" x14ac:dyDescent="0.3">
      <c r="A85" t="s">
        <v>592</v>
      </c>
      <c r="B85" t="s">
        <v>593</v>
      </c>
      <c r="C85" t="s">
        <v>594</v>
      </c>
      <c r="D85">
        <v>255.864</v>
      </c>
      <c r="E85" t="s">
        <v>339</v>
      </c>
      <c r="F85" t="s">
        <v>349</v>
      </c>
    </row>
    <row r="86" spans="1:6" x14ac:dyDescent="0.3">
      <c r="A86" t="s">
        <v>595</v>
      </c>
      <c r="B86" t="s">
        <v>596</v>
      </c>
      <c r="C86" t="s">
        <v>597</v>
      </c>
      <c r="D86">
        <v>499.649</v>
      </c>
      <c r="E86" t="s">
        <v>308</v>
      </c>
      <c r="F86" t="s">
        <v>391</v>
      </c>
    </row>
    <row r="87" spans="1:6" x14ac:dyDescent="0.3">
      <c r="A87" t="s">
        <v>598</v>
      </c>
      <c r="B87" t="s">
        <v>599</v>
      </c>
      <c r="C87" t="s">
        <v>600</v>
      </c>
      <c r="D87">
        <v>1294.4280000000001</v>
      </c>
      <c r="E87" t="s">
        <v>313</v>
      </c>
      <c r="F87" t="s">
        <v>515</v>
      </c>
    </row>
    <row r="88" spans="1:6" x14ac:dyDescent="0.3">
      <c r="A88" t="s">
        <v>601</v>
      </c>
      <c r="B88" t="s">
        <v>602</v>
      </c>
      <c r="C88" t="s">
        <v>603</v>
      </c>
      <c r="D88">
        <v>141.35400000000001</v>
      </c>
      <c r="E88" t="s">
        <v>308</v>
      </c>
      <c r="F88" t="s">
        <v>462</v>
      </c>
    </row>
    <row r="89" spans="1:6" x14ac:dyDescent="0.3">
      <c r="A89" t="s">
        <v>604</v>
      </c>
      <c r="B89" t="s">
        <v>605</v>
      </c>
      <c r="C89" t="s">
        <v>606</v>
      </c>
      <c r="D89">
        <v>268.16500000000002</v>
      </c>
      <c r="E89" t="s">
        <v>323</v>
      </c>
      <c r="F89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D6F6-0F03-41EB-A80C-13C46097B2E2}">
  <dimension ref="A1:F141"/>
  <sheetViews>
    <sheetView topLeftCell="A96" workbookViewId="0">
      <selection activeCell="L105" sqref="L105"/>
    </sheetView>
  </sheetViews>
  <sheetFormatPr defaultRowHeight="14.4" x14ac:dyDescent="0.3"/>
  <cols>
    <col min="1" max="1" width="18.6640625" bestFit="1" customWidth="1"/>
    <col min="3" max="5" width="8.88671875" style="1"/>
  </cols>
  <sheetData>
    <row r="1" spans="1:6" x14ac:dyDescent="0.3">
      <c r="A1" t="s">
        <v>610</v>
      </c>
      <c r="B1" t="s">
        <v>611</v>
      </c>
      <c r="C1" s="1" t="s">
        <v>888</v>
      </c>
      <c r="D1" s="1">
        <v>0</v>
      </c>
      <c r="E1" s="1">
        <v>0</v>
      </c>
      <c r="F1" t="s">
        <v>609</v>
      </c>
    </row>
    <row r="2" spans="1:6" x14ac:dyDescent="0.3">
      <c r="A2" t="s">
        <v>623</v>
      </c>
      <c r="B2" t="s">
        <v>624</v>
      </c>
      <c r="C2" s="1" t="s">
        <v>888</v>
      </c>
      <c r="D2" s="1">
        <v>0</v>
      </c>
      <c r="E2" s="1">
        <v>128</v>
      </c>
      <c r="F2" t="s">
        <v>609</v>
      </c>
    </row>
    <row r="3" spans="1:6" x14ac:dyDescent="0.3">
      <c r="A3" t="s">
        <v>674</v>
      </c>
      <c r="B3" t="s">
        <v>675</v>
      </c>
      <c r="C3" s="1" t="s">
        <v>888</v>
      </c>
      <c r="D3" s="1">
        <v>0</v>
      </c>
      <c r="E3" s="1">
        <v>139</v>
      </c>
      <c r="F3" t="s">
        <v>609</v>
      </c>
    </row>
    <row r="4" spans="1:6" x14ac:dyDescent="0.3">
      <c r="A4" t="s">
        <v>786</v>
      </c>
      <c r="B4" t="s">
        <v>787</v>
      </c>
      <c r="C4" s="1" t="s">
        <v>888</v>
      </c>
      <c r="D4" s="1">
        <v>0</v>
      </c>
      <c r="E4" s="1">
        <v>205</v>
      </c>
      <c r="F4" t="s">
        <v>609</v>
      </c>
    </row>
    <row r="5" spans="1:6" x14ac:dyDescent="0.3">
      <c r="A5" t="s">
        <v>612</v>
      </c>
      <c r="B5" t="s">
        <v>613</v>
      </c>
      <c r="C5" s="1" t="s">
        <v>888</v>
      </c>
      <c r="D5" s="1">
        <v>0</v>
      </c>
      <c r="E5" s="1">
        <v>255</v>
      </c>
      <c r="F5" t="s">
        <v>609</v>
      </c>
    </row>
    <row r="6" spans="1:6" x14ac:dyDescent="0.3">
      <c r="A6" t="s">
        <v>682</v>
      </c>
      <c r="B6" t="s">
        <v>683</v>
      </c>
      <c r="C6" s="1" t="s">
        <v>888</v>
      </c>
      <c r="D6" s="1">
        <v>100</v>
      </c>
      <c r="E6" s="1">
        <v>0</v>
      </c>
      <c r="F6" t="s">
        <v>609</v>
      </c>
    </row>
    <row r="7" spans="1:6" x14ac:dyDescent="0.3">
      <c r="A7" t="s">
        <v>617</v>
      </c>
      <c r="B7" t="s">
        <v>618</v>
      </c>
      <c r="C7" s="1" t="s">
        <v>888</v>
      </c>
      <c r="D7" s="1">
        <v>128</v>
      </c>
      <c r="E7" s="1">
        <v>0</v>
      </c>
      <c r="F7" t="s">
        <v>609</v>
      </c>
    </row>
    <row r="8" spans="1:6" x14ac:dyDescent="0.3">
      <c r="A8" t="s">
        <v>633</v>
      </c>
      <c r="B8" t="s">
        <v>634</v>
      </c>
      <c r="C8" s="1" t="s">
        <v>888</v>
      </c>
      <c r="D8" s="1">
        <v>128</v>
      </c>
      <c r="E8" s="1">
        <v>128</v>
      </c>
      <c r="F8" t="s">
        <v>609</v>
      </c>
    </row>
    <row r="9" spans="1:6" x14ac:dyDescent="0.3">
      <c r="A9" t="s">
        <v>676</v>
      </c>
      <c r="B9" t="s">
        <v>677</v>
      </c>
      <c r="C9" s="1" t="s">
        <v>888</v>
      </c>
      <c r="D9" s="1">
        <v>139</v>
      </c>
      <c r="E9" s="1">
        <v>139</v>
      </c>
      <c r="F9" t="s">
        <v>609</v>
      </c>
    </row>
    <row r="10" spans="1:6" x14ac:dyDescent="0.3">
      <c r="A10" t="s">
        <v>710</v>
      </c>
      <c r="B10" t="s">
        <v>711</v>
      </c>
      <c r="C10" s="1" t="s">
        <v>888</v>
      </c>
      <c r="D10" s="1">
        <v>191</v>
      </c>
      <c r="E10" s="1">
        <v>255</v>
      </c>
      <c r="F10" t="s">
        <v>609</v>
      </c>
    </row>
    <row r="11" spans="1:6" x14ac:dyDescent="0.3">
      <c r="A11" t="s">
        <v>712</v>
      </c>
      <c r="B11" t="s">
        <v>713</v>
      </c>
      <c r="C11" s="1" t="s">
        <v>888</v>
      </c>
      <c r="D11" s="1">
        <v>191</v>
      </c>
      <c r="E11" s="1">
        <v>255</v>
      </c>
      <c r="F11" t="s">
        <v>609</v>
      </c>
    </row>
    <row r="12" spans="1:6" x14ac:dyDescent="0.3">
      <c r="A12" t="s">
        <v>704</v>
      </c>
      <c r="B12" t="s">
        <v>705</v>
      </c>
      <c r="C12" s="1" t="s">
        <v>888</v>
      </c>
      <c r="D12" s="1">
        <v>206</v>
      </c>
      <c r="E12" s="1">
        <v>209</v>
      </c>
      <c r="F12" t="s">
        <v>609</v>
      </c>
    </row>
    <row r="13" spans="1:6" x14ac:dyDescent="0.3">
      <c r="A13" t="s">
        <v>796</v>
      </c>
      <c r="B13" t="s">
        <v>797</v>
      </c>
      <c r="C13" s="1" t="s">
        <v>888</v>
      </c>
      <c r="D13" s="1">
        <v>250</v>
      </c>
      <c r="E13" s="1">
        <v>154</v>
      </c>
      <c r="F13" t="s">
        <v>609</v>
      </c>
    </row>
    <row r="14" spans="1:6" x14ac:dyDescent="0.3">
      <c r="A14" t="s">
        <v>619</v>
      </c>
      <c r="B14" t="s">
        <v>620</v>
      </c>
      <c r="C14" s="1" t="s">
        <v>888</v>
      </c>
      <c r="D14" s="1">
        <v>255</v>
      </c>
      <c r="E14" s="1">
        <v>0</v>
      </c>
      <c r="F14" t="s">
        <v>609</v>
      </c>
    </row>
    <row r="15" spans="1:6" x14ac:dyDescent="0.3">
      <c r="A15" t="s">
        <v>868</v>
      </c>
      <c r="B15" t="s">
        <v>869</v>
      </c>
      <c r="C15" s="1" t="s">
        <v>888</v>
      </c>
      <c r="D15" s="1">
        <v>255</v>
      </c>
      <c r="E15" s="1">
        <v>127</v>
      </c>
      <c r="F15" t="s">
        <v>609</v>
      </c>
    </row>
    <row r="16" spans="1:6" x14ac:dyDescent="0.3">
      <c r="A16" t="s">
        <v>607</v>
      </c>
      <c r="B16" t="s">
        <v>608</v>
      </c>
      <c r="C16" s="1" t="s">
        <v>888</v>
      </c>
      <c r="D16" s="1">
        <v>255</v>
      </c>
      <c r="E16" s="1">
        <v>255</v>
      </c>
      <c r="F16" t="s">
        <v>609</v>
      </c>
    </row>
    <row r="17" spans="1:6" x14ac:dyDescent="0.3">
      <c r="A17" t="s">
        <v>673</v>
      </c>
      <c r="B17" t="s">
        <v>608</v>
      </c>
      <c r="C17" s="1" t="s">
        <v>888</v>
      </c>
      <c r="D17" s="1">
        <v>255</v>
      </c>
      <c r="E17" s="1">
        <v>255</v>
      </c>
      <c r="F17" t="s">
        <v>609</v>
      </c>
    </row>
    <row r="18" spans="1:6" x14ac:dyDescent="0.3">
      <c r="A18" t="s">
        <v>667</v>
      </c>
      <c r="B18" t="s">
        <v>668</v>
      </c>
      <c r="C18" s="1" t="s">
        <v>904</v>
      </c>
      <c r="D18" s="1">
        <v>149</v>
      </c>
      <c r="E18" s="1">
        <v>237</v>
      </c>
      <c r="F18" t="s">
        <v>609</v>
      </c>
    </row>
    <row r="19" spans="1:6" x14ac:dyDescent="0.3">
      <c r="A19" t="s">
        <v>784</v>
      </c>
      <c r="B19" t="s">
        <v>785</v>
      </c>
      <c r="C19" s="1" t="s">
        <v>905</v>
      </c>
      <c r="D19" s="1">
        <v>205</v>
      </c>
      <c r="E19" s="1">
        <v>170</v>
      </c>
      <c r="F19" t="s">
        <v>609</v>
      </c>
    </row>
    <row r="20" spans="1:6" x14ac:dyDescent="0.3">
      <c r="A20" t="s">
        <v>862</v>
      </c>
      <c r="B20" t="s">
        <v>863</v>
      </c>
      <c r="C20" s="1" t="s">
        <v>906</v>
      </c>
      <c r="D20" s="1">
        <v>90</v>
      </c>
      <c r="E20" s="1">
        <v>205</v>
      </c>
      <c r="F20" t="s">
        <v>609</v>
      </c>
    </row>
    <row r="21" spans="1:6" x14ac:dyDescent="0.3">
      <c r="A21" t="s">
        <v>816</v>
      </c>
      <c r="B21" t="s">
        <v>817</v>
      </c>
      <c r="C21" s="1" t="s">
        <v>907</v>
      </c>
      <c r="D21" s="1">
        <v>142</v>
      </c>
      <c r="E21" s="1">
        <v>35</v>
      </c>
      <c r="F21" t="s">
        <v>609</v>
      </c>
    </row>
    <row r="22" spans="1:6" x14ac:dyDescent="0.3">
      <c r="A22" t="s">
        <v>864</v>
      </c>
      <c r="B22" t="s">
        <v>865</v>
      </c>
      <c r="C22" s="1" t="s">
        <v>908</v>
      </c>
      <c r="D22" s="1">
        <v>128</v>
      </c>
      <c r="E22" s="1">
        <v>144</v>
      </c>
      <c r="F22" t="s">
        <v>609</v>
      </c>
    </row>
    <row r="23" spans="1:6" x14ac:dyDescent="0.3">
      <c r="A23" t="s">
        <v>773</v>
      </c>
      <c r="B23" t="s">
        <v>774</v>
      </c>
      <c r="C23" s="1" t="s">
        <v>909</v>
      </c>
      <c r="D23" s="1">
        <v>136</v>
      </c>
      <c r="E23" s="1">
        <v>153</v>
      </c>
      <c r="F23" t="s">
        <v>609</v>
      </c>
    </row>
    <row r="24" spans="1:6" x14ac:dyDescent="0.3">
      <c r="A24" t="s">
        <v>794</v>
      </c>
      <c r="B24" t="s">
        <v>795</v>
      </c>
      <c r="C24" s="1" t="s">
        <v>910</v>
      </c>
      <c r="D24" s="1">
        <v>104</v>
      </c>
      <c r="E24" s="1">
        <v>238</v>
      </c>
      <c r="F24" t="s">
        <v>609</v>
      </c>
    </row>
    <row r="25" spans="1:6" x14ac:dyDescent="0.3">
      <c r="A25" t="s">
        <v>749</v>
      </c>
      <c r="B25" t="s">
        <v>750</v>
      </c>
      <c r="C25" s="1" t="s">
        <v>911</v>
      </c>
      <c r="D25" s="1">
        <v>252</v>
      </c>
      <c r="E25" s="1">
        <v>0</v>
      </c>
      <c r="F25" t="s">
        <v>609</v>
      </c>
    </row>
    <row r="26" spans="1:6" x14ac:dyDescent="0.3">
      <c r="A26" t="s">
        <v>645</v>
      </c>
      <c r="B26" t="s">
        <v>646</v>
      </c>
      <c r="C26" s="1" t="s">
        <v>951</v>
      </c>
      <c r="D26" s="1">
        <v>255</v>
      </c>
      <c r="E26" s="1">
        <v>255</v>
      </c>
      <c r="F26" t="s">
        <v>609</v>
      </c>
    </row>
    <row r="27" spans="1:6" x14ac:dyDescent="0.3">
      <c r="A27" t="s">
        <v>616</v>
      </c>
      <c r="B27" t="s">
        <v>730</v>
      </c>
      <c r="C27" s="1" t="s">
        <v>912</v>
      </c>
      <c r="D27" s="1">
        <v>127</v>
      </c>
      <c r="E27" s="1">
        <v>127</v>
      </c>
      <c r="F27" t="s">
        <v>609</v>
      </c>
    </row>
    <row r="28" spans="1:6" x14ac:dyDescent="0.3">
      <c r="A28" t="s">
        <v>643</v>
      </c>
      <c r="B28" t="s">
        <v>644</v>
      </c>
      <c r="C28" s="1" t="s">
        <v>912</v>
      </c>
      <c r="D28" s="1">
        <v>255</v>
      </c>
      <c r="E28" s="1">
        <v>212</v>
      </c>
      <c r="F28" t="s">
        <v>609</v>
      </c>
    </row>
    <row r="29" spans="1:6" x14ac:dyDescent="0.3">
      <c r="A29" t="s">
        <v>621</v>
      </c>
      <c r="B29" t="s">
        <v>622</v>
      </c>
      <c r="C29" s="1" t="s">
        <v>913</v>
      </c>
      <c r="D29" s="1">
        <v>0</v>
      </c>
      <c r="E29" s="1">
        <v>0</v>
      </c>
      <c r="F29" t="s">
        <v>609</v>
      </c>
    </row>
    <row r="30" spans="1:6" x14ac:dyDescent="0.3">
      <c r="A30" t="s">
        <v>627</v>
      </c>
      <c r="B30" t="s">
        <v>628</v>
      </c>
      <c r="C30" s="1" t="s">
        <v>913</v>
      </c>
      <c r="D30" s="1">
        <v>0</v>
      </c>
      <c r="E30" s="1">
        <v>128</v>
      </c>
      <c r="F30" t="s">
        <v>609</v>
      </c>
    </row>
    <row r="31" spans="1:6" x14ac:dyDescent="0.3">
      <c r="A31" t="s">
        <v>625</v>
      </c>
      <c r="B31" t="s">
        <v>626</v>
      </c>
      <c r="C31" s="1" t="s">
        <v>913</v>
      </c>
      <c r="D31" s="1">
        <v>128</v>
      </c>
      <c r="E31" s="1">
        <v>0</v>
      </c>
      <c r="F31" t="s">
        <v>609</v>
      </c>
    </row>
    <row r="32" spans="1:6" x14ac:dyDescent="0.3">
      <c r="A32" t="s">
        <v>860</v>
      </c>
      <c r="B32" t="s">
        <v>861</v>
      </c>
      <c r="C32" s="1" t="s">
        <v>914</v>
      </c>
      <c r="D32" s="1">
        <v>206</v>
      </c>
      <c r="E32" s="1">
        <v>235</v>
      </c>
      <c r="F32" t="s">
        <v>609</v>
      </c>
    </row>
    <row r="33" spans="1:6" x14ac:dyDescent="0.3">
      <c r="A33" t="s">
        <v>771</v>
      </c>
      <c r="B33" t="s">
        <v>772</v>
      </c>
      <c r="C33" s="1" t="s">
        <v>914</v>
      </c>
      <c r="D33" s="1">
        <v>206</v>
      </c>
      <c r="E33" s="1">
        <v>250</v>
      </c>
      <c r="F33" t="s">
        <v>609</v>
      </c>
    </row>
    <row r="34" spans="1:6" x14ac:dyDescent="0.3">
      <c r="A34" t="s">
        <v>653</v>
      </c>
      <c r="B34" t="s">
        <v>654</v>
      </c>
      <c r="C34" s="1" t="s">
        <v>915</v>
      </c>
      <c r="D34" s="1">
        <v>43</v>
      </c>
      <c r="E34" s="1">
        <v>226</v>
      </c>
      <c r="F34" t="s">
        <v>609</v>
      </c>
    </row>
    <row r="35" spans="1:6" x14ac:dyDescent="0.3">
      <c r="A35" t="s">
        <v>694</v>
      </c>
      <c r="B35" t="s">
        <v>695</v>
      </c>
      <c r="C35" s="1" t="s">
        <v>916</v>
      </c>
      <c r="D35" s="1">
        <v>0</v>
      </c>
      <c r="E35" s="1">
        <v>0</v>
      </c>
      <c r="F35" t="s">
        <v>609</v>
      </c>
    </row>
    <row r="36" spans="1:6" x14ac:dyDescent="0.3">
      <c r="A36" t="s">
        <v>686</v>
      </c>
      <c r="B36" t="s">
        <v>687</v>
      </c>
      <c r="C36" s="1" t="s">
        <v>916</v>
      </c>
      <c r="D36" s="1">
        <v>0</v>
      </c>
      <c r="E36" s="1">
        <v>139</v>
      </c>
      <c r="F36" t="s">
        <v>609</v>
      </c>
    </row>
    <row r="37" spans="1:6" x14ac:dyDescent="0.3">
      <c r="A37" t="s">
        <v>848</v>
      </c>
      <c r="B37" t="s">
        <v>849</v>
      </c>
      <c r="C37" s="1" t="s">
        <v>916</v>
      </c>
      <c r="D37" s="1">
        <v>69</v>
      </c>
      <c r="E37" s="1">
        <v>19</v>
      </c>
      <c r="F37" t="s">
        <v>609</v>
      </c>
    </row>
    <row r="38" spans="1:6" x14ac:dyDescent="0.3">
      <c r="A38" t="s">
        <v>886</v>
      </c>
      <c r="B38" t="s">
        <v>887</v>
      </c>
      <c r="C38" s="1" t="s">
        <v>916</v>
      </c>
      <c r="D38" s="1">
        <v>205</v>
      </c>
      <c r="E38" s="1">
        <v>50</v>
      </c>
      <c r="F38" t="s">
        <v>609</v>
      </c>
    </row>
    <row r="39" spans="1:6" x14ac:dyDescent="0.3">
      <c r="A39" t="s">
        <v>698</v>
      </c>
      <c r="B39" t="s">
        <v>699</v>
      </c>
      <c r="C39" s="1" t="s">
        <v>917</v>
      </c>
      <c r="D39" s="1">
        <v>188</v>
      </c>
      <c r="E39" s="1">
        <v>143</v>
      </c>
      <c r="F39" t="s">
        <v>609</v>
      </c>
    </row>
    <row r="40" spans="1:6" x14ac:dyDescent="0.3">
      <c r="A40" t="s">
        <v>761</v>
      </c>
      <c r="B40" t="s">
        <v>762</v>
      </c>
      <c r="C40" s="1" t="s">
        <v>918</v>
      </c>
      <c r="D40" s="1">
        <v>238</v>
      </c>
      <c r="E40" s="1">
        <v>144</v>
      </c>
      <c r="F40" t="s">
        <v>609</v>
      </c>
    </row>
    <row r="41" spans="1:6" x14ac:dyDescent="0.3">
      <c r="A41" t="s">
        <v>790</v>
      </c>
      <c r="B41" t="s">
        <v>791</v>
      </c>
      <c r="C41" s="1" t="s">
        <v>919</v>
      </c>
      <c r="D41" s="1">
        <v>112</v>
      </c>
      <c r="E41" s="1">
        <v>219</v>
      </c>
      <c r="F41" t="s">
        <v>609</v>
      </c>
    </row>
    <row r="42" spans="1:6" x14ac:dyDescent="0.3">
      <c r="A42" t="s">
        <v>706</v>
      </c>
      <c r="B42" t="s">
        <v>707</v>
      </c>
      <c r="C42" s="1" t="s">
        <v>920</v>
      </c>
      <c r="D42" s="1">
        <v>0</v>
      </c>
      <c r="E42" s="1">
        <v>211</v>
      </c>
      <c r="F42" t="s">
        <v>609</v>
      </c>
    </row>
    <row r="43" spans="1:6" x14ac:dyDescent="0.3">
      <c r="A43" t="s">
        <v>826</v>
      </c>
      <c r="B43" t="s">
        <v>827</v>
      </c>
      <c r="C43" s="1" t="s">
        <v>921</v>
      </c>
      <c r="D43" s="1">
        <v>251</v>
      </c>
      <c r="E43" s="1">
        <v>152</v>
      </c>
      <c r="F43" t="s">
        <v>609</v>
      </c>
    </row>
    <row r="44" spans="1:6" x14ac:dyDescent="0.3">
      <c r="A44" t="s">
        <v>692</v>
      </c>
      <c r="B44" t="s">
        <v>693</v>
      </c>
      <c r="C44" s="1" t="s">
        <v>922</v>
      </c>
      <c r="D44" s="1">
        <v>50</v>
      </c>
      <c r="E44" s="1">
        <v>204</v>
      </c>
      <c r="F44" t="s">
        <v>609</v>
      </c>
    </row>
    <row r="45" spans="1:6" x14ac:dyDescent="0.3">
      <c r="A45" t="s">
        <v>812</v>
      </c>
      <c r="B45" t="s">
        <v>813</v>
      </c>
      <c r="C45" s="1" t="s">
        <v>923</v>
      </c>
      <c r="D45" s="1">
        <v>175</v>
      </c>
      <c r="E45" s="1">
        <v>223</v>
      </c>
      <c r="F45" t="s">
        <v>609</v>
      </c>
    </row>
    <row r="46" spans="1:6" x14ac:dyDescent="0.3">
      <c r="A46" t="s">
        <v>858</v>
      </c>
      <c r="B46" t="s">
        <v>859</v>
      </c>
      <c r="C46" s="1" t="s">
        <v>924</v>
      </c>
      <c r="D46" s="1">
        <v>82</v>
      </c>
      <c r="E46" s="1">
        <v>45</v>
      </c>
      <c r="F46" t="s">
        <v>609</v>
      </c>
    </row>
    <row r="47" spans="1:6" x14ac:dyDescent="0.3">
      <c r="A47" t="s">
        <v>655</v>
      </c>
      <c r="B47" t="s">
        <v>656</v>
      </c>
      <c r="C47" s="1" t="s">
        <v>925</v>
      </c>
      <c r="D47" s="1">
        <v>42</v>
      </c>
      <c r="E47" s="1">
        <v>42</v>
      </c>
      <c r="F47" t="s">
        <v>609</v>
      </c>
    </row>
    <row r="48" spans="1:6" x14ac:dyDescent="0.3">
      <c r="A48" t="s">
        <v>680</v>
      </c>
      <c r="B48" t="s">
        <v>681</v>
      </c>
      <c r="C48" s="1" t="s">
        <v>926</v>
      </c>
      <c r="D48" s="1">
        <v>169</v>
      </c>
      <c r="E48" s="1">
        <v>169</v>
      </c>
      <c r="F48" t="s">
        <v>609</v>
      </c>
    </row>
    <row r="49" spans="1:6" x14ac:dyDescent="0.3">
      <c r="A49" t="s">
        <v>753</v>
      </c>
      <c r="B49" t="s">
        <v>754</v>
      </c>
      <c r="C49" s="1" t="s">
        <v>927</v>
      </c>
      <c r="D49" s="1">
        <v>216</v>
      </c>
      <c r="E49" s="1">
        <v>230</v>
      </c>
      <c r="F49" t="s">
        <v>609</v>
      </c>
    </row>
    <row r="50" spans="1:6" x14ac:dyDescent="0.3">
      <c r="A50" t="s">
        <v>731</v>
      </c>
      <c r="B50" t="s">
        <v>732</v>
      </c>
      <c r="C50" s="1" t="s">
        <v>927</v>
      </c>
      <c r="D50" s="1">
        <v>255</v>
      </c>
      <c r="E50" s="1">
        <v>47</v>
      </c>
      <c r="F50" t="s">
        <v>609</v>
      </c>
    </row>
    <row r="51" spans="1:6" x14ac:dyDescent="0.3">
      <c r="A51" t="s">
        <v>828</v>
      </c>
      <c r="B51" t="s">
        <v>829</v>
      </c>
      <c r="C51" s="1" t="s">
        <v>928</v>
      </c>
      <c r="D51" s="1">
        <v>238</v>
      </c>
      <c r="E51" s="1">
        <v>238</v>
      </c>
      <c r="F51" t="s">
        <v>609</v>
      </c>
    </row>
    <row r="52" spans="1:6" x14ac:dyDescent="0.3">
      <c r="A52" t="s">
        <v>775</v>
      </c>
      <c r="B52" t="s">
        <v>776</v>
      </c>
      <c r="C52" s="1" t="s">
        <v>929</v>
      </c>
      <c r="D52" s="1">
        <v>196</v>
      </c>
      <c r="E52" s="1">
        <v>222</v>
      </c>
      <c r="F52" t="s">
        <v>609</v>
      </c>
    </row>
    <row r="53" spans="1:6" x14ac:dyDescent="0.3">
      <c r="A53" t="s">
        <v>842</v>
      </c>
      <c r="B53" t="s">
        <v>843</v>
      </c>
      <c r="C53" s="1" t="s">
        <v>929</v>
      </c>
      <c r="D53" s="1">
        <v>224</v>
      </c>
      <c r="E53" s="1">
        <v>230</v>
      </c>
      <c r="F53" t="s">
        <v>609</v>
      </c>
    </row>
    <row r="54" spans="1:6" x14ac:dyDescent="0.3">
      <c r="A54" t="s">
        <v>716</v>
      </c>
      <c r="B54" t="s">
        <v>717</v>
      </c>
      <c r="C54" s="1" t="s">
        <v>930</v>
      </c>
      <c r="D54" s="1">
        <v>34</v>
      </c>
      <c r="E54" s="1">
        <v>34</v>
      </c>
      <c r="F54" t="s">
        <v>609</v>
      </c>
    </row>
    <row r="55" spans="1:6" x14ac:dyDescent="0.3">
      <c r="A55" t="s">
        <v>678</v>
      </c>
      <c r="B55" t="s">
        <v>679</v>
      </c>
      <c r="C55" s="1" t="s">
        <v>931</v>
      </c>
      <c r="D55" s="1">
        <v>134</v>
      </c>
      <c r="E55" s="1">
        <v>11</v>
      </c>
      <c r="F55" t="s">
        <v>609</v>
      </c>
    </row>
    <row r="56" spans="1:6" x14ac:dyDescent="0.3">
      <c r="A56" t="s">
        <v>788</v>
      </c>
      <c r="B56" t="s">
        <v>789</v>
      </c>
      <c r="C56" s="1" t="s">
        <v>932</v>
      </c>
      <c r="D56" s="1">
        <v>85</v>
      </c>
      <c r="E56" s="1">
        <v>211</v>
      </c>
      <c r="F56" t="s">
        <v>609</v>
      </c>
    </row>
    <row r="57" spans="1:6" x14ac:dyDescent="0.3">
      <c r="A57" t="s">
        <v>844</v>
      </c>
      <c r="B57" t="s">
        <v>845</v>
      </c>
      <c r="C57" s="1" t="s">
        <v>933</v>
      </c>
      <c r="D57" s="1">
        <v>143</v>
      </c>
      <c r="E57" s="1">
        <v>143</v>
      </c>
      <c r="F57" t="s">
        <v>609</v>
      </c>
    </row>
    <row r="58" spans="1:6" x14ac:dyDescent="0.3">
      <c r="A58" t="s">
        <v>684</v>
      </c>
      <c r="B58" t="s">
        <v>685</v>
      </c>
      <c r="C58" s="1" t="s">
        <v>934</v>
      </c>
      <c r="D58" s="1">
        <v>183</v>
      </c>
      <c r="E58" s="1">
        <v>107</v>
      </c>
      <c r="F58" t="s">
        <v>609</v>
      </c>
    </row>
    <row r="59" spans="1:6" x14ac:dyDescent="0.3">
      <c r="A59" t="s">
        <v>631</v>
      </c>
      <c r="B59" t="s">
        <v>632</v>
      </c>
      <c r="C59" s="1" t="s">
        <v>935</v>
      </c>
      <c r="D59" s="1">
        <v>192</v>
      </c>
      <c r="E59" s="1">
        <v>192</v>
      </c>
      <c r="F59" t="s">
        <v>609</v>
      </c>
    </row>
    <row r="60" spans="1:6" x14ac:dyDescent="0.3">
      <c r="A60" t="s">
        <v>800</v>
      </c>
      <c r="B60" t="s">
        <v>801</v>
      </c>
      <c r="C60" s="1" t="s">
        <v>936</v>
      </c>
      <c r="D60" s="1">
        <v>21</v>
      </c>
      <c r="E60" s="1">
        <v>133</v>
      </c>
      <c r="F60" t="s">
        <v>609</v>
      </c>
    </row>
    <row r="61" spans="1:6" x14ac:dyDescent="0.3">
      <c r="A61" t="s">
        <v>737</v>
      </c>
      <c r="B61" t="s">
        <v>738</v>
      </c>
      <c r="C61" s="1" t="s">
        <v>937</v>
      </c>
      <c r="D61" s="1">
        <v>92</v>
      </c>
      <c r="E61" s="1">
        <v>92</v>
      </c>
      <c r="F61" t="s">
        <v>609</v>
      </c>
    </row>
    <row r="62" spans="1:6" x14ac:dyDescent="0.3">
      <c r="A62" t="s">
        <v>836</v>
      </c>
      <c r="B62" t="s">
        <v>837</v>
      </c>
      <c r="C62" s="1" t="s">
        <v>937</v>
      </c>
      <c r="D62" s="1">
        <v>133</v>
      </c>
      <c r="E62" s="1">
        <v>63</v>
      </c>
      <c r="F62" t="s">
        <v>609</v>
      </c>
    </row>
    <row r="63" spans="1:6" x14ac:dyDescent="0.3">
      <c r="A63" t="s">
        <v>663</v>
      </c>
      <c r="B63" t="s">
        <v>664</v>
      </c>
      <c r="C63" s="1" t="s">
        <v>938</v>
      </c>
      <c r="D63" s="1">
        <v>105</v>
      </c>
      <c r="E63" s="1">
        <v>30</v>
      </c>
      <c r="F63" t="s">
        <v>609</v>
      </c>
    </row>
    <row r="64" spans="1:6" x14ac:dyDescent="0.3">
      <c r="A64" t="s">
        <v>872</v>
      </c>
      <c r="B64" t="s">
        <v>873</v>
      </c>
      <c r="C64" s="1" t="s">
        <v>938</v>
      </c>
      <c r="D64" s="1">
        <v>180</v>
      </c>
      <c r="E64" s="1">
        <v>140</v>
      </c>
      <c r="F64" t="s">
        <v>609</v>
      </c>
    </row>
    <row r="65" spans="1:6" x14ac:dyDescent="0.3">
      <c r="A65" t="s">
        <v>763</v>
      </c>
      <c r="B65" t="s">
        <v>764</v>
      </c>
      <c r="C65" s="1" t="s">
        <v>939</v>
      </c>
      <c r="D65" s="1">
        <v>211</v>
      </c>
      <c r="E65" s="1">
        <v>211</v>
      </c>
      <c r="F65" t="s">
        <v>609</v>
      </c>
    </row>
    <row r="66" spans="1:6" x14ac:dyDescent="0.3">
      <c r="A66" t="s">
        <v>874</v>
      </c>
      <c r="B66" t="s">
        <v>875</v>
      </c>
      <c r="C66" s="1" t="s">
        <v>940</v>
      </c>
      <c r="D66" s="1">
        <v>191</v>
      </c>
      <c r="E66" s="1">
        <v>216</v>
      </c>
      <c r="F66" t="s">
        <v>609</v>
      </c>
    </row>
    <row r="67" spans="1:6" x14ac:dyDescent="0.3">
      <c r="A67" t="s">
        <v>822</v>
      </c>
      <c r="B67" t="s">
        <v>823</v>
      </c>
      <c r="C67" s="1" t="s">
        <v>941</v>
      </c>
      <c r="D67" s="1">
        <v>112</v>
      </c>
      <c r="E67" s="1">
        <v>214</v>
      </c>
      <c r="F67" t="s">
        <v>609</v>
      </c>
    </row>
    <row r="68" spans="1:6" x14ac:dyDescent="0.3">
      <c r="A68" t="s">
        <v>728</v>
      </c>
      <c r="B68" t="s">
        <v>729</v>
      </c>
      <c r="C68" s="1" t="s">
        <v>941</v>
      </c>
      <c r="D68" s="1">
        <v>165</v>
      </c>
      <c r="E68" s="1">
        <v>32</v>
      </c>
      <c r="F68" t="s">
        <v>609</v>
      </c>
    </row>
    <row r="69" spans="1:6" x14ac:dyDescent="0.3">
      <c r="A69" t="s">
        <v>830</v>
      </c>
      <c r="B69" t="s">
        <v>831</v>
      </c>
      <c r="C69" s="1" t="s">
        <v>942</v>
      </c>
      <c r="D69" s="1">
        <v>112</v>
      </c>
      <c r="E69" s="1">
        <v>147</v>
      </c>
      <c r="F69" t="s">
        <v>609</v>
      </c>
    </row>
    <row r="70" spans="1:6" x14ac:dyDescent="0.3">
      <c r="A70" t="s">
        <v>671</v>
      </c>
      <c r="B70" t="s">
        <v>672</v>
      </c>
      <c r="C70" s="1" t="s">
        <v>943</v>
      </c>
      <c r="D70" s="1">
        <v>20</v>
      </c>
      <c r="E70" s="1">
        <v>60</v>
      </c>
      <c r="F70" t="s">
        <v>609</v>
      </c>
    </row>
    <row r="71" spans="1:6" x14ac:dyDescent="0.3">
      <c r="A71" t="s">
        <v>722</v>
      </c>
      <c r="B71" t="s">
        <v>723</v>
      </c>
      <c r="C71" s="1" t="s">
        <v>943</v>
      </c>
      <c r="D71" s="1">
        <v>220</v>
      </c>
      <c r="E71" s="1">
        <v>220</v>
      </c>
      <c r="F71" t="s">
        <v>609</v>
      </c>
    </row>
    <row r="72" spans="1:6" x14ac:dyDescent="0.3">
      <c r="A72" t="s">
        <v>840</v>
      </c>
      <c r="B72" t="s">
        <v>841</v>
      </c>
      <c r="C72" s="1" t="s">
        <v>944</v>
      </c>
      <c r="D72" s="1">
        <v>160</v>
      </c>
      <c r="E72" s="1">
        <v>221</v>
      </c>
      <c r="F72" t="s">
        <v>609</v>
      </c>
    </row>
    <row r="73" spans="1:6" x14ac:dyDescent="0.3">
      <c r="A73" t="s">
        <v>657</v>
      </c>
      <c r="B73" t="s">
        <v>658</v>
      </c>
      <c r="C73" s="1" t="s">
        <v>945</v>
      </c>
      <c r="D73" s="1">
        <v>184</v>
      </c>
      <c r="E73" s="1">
        <v>135</v>
      </c>
      <c r="F73" t="s">
        <v>609</v>
      </c>
    </row>
    <row r="74" spans="1:6" x14ac:dyDescent="0.3">
      <c r="A74" t="s">
        <v>757</v>
      </c>
      <c r="B74" t="s">
        <v>758</v>
      </c>
      <c r="C74" s="1" t="s">
        <v>946</v>
      </c>
      <c r="D74" s="1">
        <v>255</v>
      </c>
      <c r="E74" s="1">
        <v>255</v>
      </c>
      <c r="F74" t="s">
        <v>609</v>
      </c>
    </row>
    <row r="75" spans="1:6" x14ac:dyDescent="0.3">
      <c r="A75" t="s">
        <v>745</v>
      </c>
      <c r="B75" t="s">
        <v>746</v>
      </c>
      <c r="C75" s="1" t="s">
        <v>947</v>
      </c>
      <c r="D75" s="1">
        <v>230</v>
      </c>
      <c r="E75" s="1">
        <v>250</v>
      </c>
      <c r="F75" t="s">
        <v>609</v>
      </c>
    </row>
    <row r="76" spans="1:6" x14ac:dyDescent="0.3">
      <c r="A76" t="s">
        <v>696</v>
      </c>
      <c r="B76" t="s">
        <v>697</v>
      </c>
      <c r="C76" s="1" t="s">
        <v>948</v>
      </c>
      <c r="D76" s="1">
        <v>150</v>
      </c>
      <c r="E76" s="1">
        <v>122</v>
      </c>
      <c r="F76" t="s">
        <v>609</v>
      </c>
    </row>
    <row r="77" spans="1:6" x14ac:dyDescent="0.3">
      <c r="A77" t="s">
        <v>880</v>
      </c>
      <c r="B77" t="s">
        <v>881</v>
      </c>
      <c r="C77" s="1" t="s">
        <v>949</v>
      </c>
      <c r="D77" s="1">
        <v>130</v>
      </c>
      <c r="E77" s="1">
        <v>238</v>
      </c>
      <c r="F77" t="s">
        <v>609</v>
      </c>
    </row>
    <row r="78" spans="1:6" x14ac:dyDescent="0.3">
      <c r="A78" t="s">
        <v>824</v>
      </c>
      <c r="B78" t="s">
        <v>825</v>
      </c>
      <c r="C78" s="1" t="s">
        <v>949</v>
      </c>
      <c r="D78" s="1">
        <v>232</v>
      </c>
      <c r="E78" s="1">
        <v>170</v>
      </c>
      <c r="F78" t="s">
        <v>609</v>
      </c>
    </row>
    <row r="79" spans="1:6" x14ac:dyDescent="0.3">
      <c r="A79" t="s">
        <v>755</v>
      </c>
      <c r="B79" t="s">
        <v>756</v>
      </c>
      <c r="C79" s="1" t="s">
        <v>950</v>
      </c>
      <c r="D79" s="1">
        <v>128</v>
      </c>
      <c r="E79" s="1">
        <v>128</v>
      </c>
      <c r="F79" t="s">
        <v>609</v>
      </c>
    </row>
    <row r="80" spans="1:6" x14ac:dyDescent="0.3">
      <c r="A80" t="s">
        <v>743</v>
      </c>
      <c r="B80" t="s">
        <v>744</v>
      </c>
      <c r="C80" s="1" t="s">
        <v>950</v>
      </c>
      <c r="D80" s="1">
        <v>230</v>
      </c>
      <c r="E80" s="1">
        <v>140</v>
      </c>
      <c r="F80" t="s">
        <v>609</v>
      </c>
    </row>
    <row r="81" spans="1:6" x14ac:dyDescent="0.3">
      <c r="A81" t="s">
        <v>639</v>
      </c>
      <c r="B81" t="s">
        <v>640</v>
      </c>
      <c r="C81" s="1" t="s">
        <v>950</v>
      </c>
      <c r="D81" s="1">
        <v>248</v>
      </c>
      <c r="E81" s="1">
        <v>255</v>
      </c>
      <c r="F81" t="s">
        <v>609</v>
      </c>
    </row>
    <row r="82" spans="1:6" x14ac:dyDescent="0.3">
      <c r="A82" t="s">
        <v>733</v>
      </c>
      <c r="B82" t="s">
        <v>734</v>
      </c>
      <c r="C82" s="1" t="s">
        <v>950</v>
      </c>
      <c r="D82" s="1">
        <v>255</v>
      </c>
      <c r="E82" s="1">
        <v>240</v>
      </c>
      <c r="F82" t="s">
        <v>609</v>
      </c>
    </row>
    <row r="83" spans="1:6" x14ac:dyDescent="0.3">
      <c r="A83" t="s">
        <v>852</v>
      </c>
      <c r="B83" t="s">
        <v>853</v>
      </c>
      <c r="C83" s="1" t="s">
        <v>952</v>
      </c>
      <c r="D83" s="1">
        <v>164</v>
      </c>
      <c r="E83" s="1">
        <v>96</v>
      </c>
      <c r="F83" t="s">
        <v>609</v>
      </c>
    </row>
    <row r="84" spans="1:6" x14ac:dyDescent="0.3">
      <c r="A84" t="s">
        <v>882</v>
      </c>
      <c r="B84" t="s">
        <v>883</v>
      </c>
      <c r="C84" s="1" t="s">
        <v>953</v>
      </c>
      <c r="D84" s="1">
        <v>222</v>
      </c>
      <c r="E84" s="1">
        <v>179</v>
      </c>
      <c r="F84" t="s">
        <v>609</v>
      </c>
    </row>
    <row r="85" spans="1:6" x14ac:dyDescent="0.3">
      <c r="A85" t="s">
        <v>647</v>
      </c>
      <c r="B85" t="s">
        <v>648</v>
      </c>
      <c r="C85" s="1" t="s">
        <v>953</v>
      </c>
      <c r="D85" s="1">
        <v>245</v>
      </c>
      <c r="E85" s="1">
        <v>220</v>
      </c>
      <c r="F85" t="s">
        <v>609</v>
      </c>
    </row>
    <row r="86" spans="1:6" x14ac:dyDescent="0.3">
      <c r="A86" t="s">
        <v>884</v>
      </c>
      <c r="B86" t="s">
        <v>885</v>
      </c>
      <c r="C86" s="1" t="s">
        <v>953</v>
      </c>
      <c r="D86" s="1">
        <v>245</v>
      </c>
      <c r="E86" s="1">
        <v>245</v>
      </c>
      <c r="F86" t="s">
        <v>609</v>
      </c>
    </row>
    <row r="87" spans="1:6" x14ac:dyDescent="0.3">
      <c r="A87" t="s">
        <v>804</v>
      </c>
      <c r="B87" t="s">
        <v>805</v>
      </c>
      <c r="C87" s="1" t="s">
        <v>953</v>
      </c>
      <c r="D87" s="1">
        <v>255</v>
      </c>
      <c r="E87" s="1">
        <v>250</v>
      </c>
      <c r="F87" t="s">
        <v>609</v>
      </c>
    </row>
    <row r="88" spans="1:6" x14ac:dyDescent="0.3">
      <c r="A88" t="s">
        <v>724</v>
      </c>
      <c r="B88" t="s">
        <v>725</v>
      </c>
      <c r="C88" s="1" t="s">
        <v>954</v>
      </c>
      <c r="D88" s="1">
        <v>248</v>
      </c>
      <c r="E88" s="1">
        <v>255</v>
      </c>
      <c r="F88" t="s">
        <v>609</v>
      </c>
    </row>
    <row r="89" spans="1:6" x14ac:dyDescent="0.3">
      <c r="A89" t="s">
        <v>802</v>
      </c>
      <c r="B89" t="s">
        <v>803</v>
      </c>
      <c r="C89" s="1" t="s">
        <v>889</v>
      </c>
      <c r="D89" s="1">
        <v>25</v>
      </c>
      <c r="E89" s="1">
        <v>112</v>
      </c>
      <c r="F89" t="s">
        <v>609</v>
      </c>
    </row>
    <row r="90" spans="1:6" x14ac:dyDescent="0.3">
      <c r="A90" t="s">
        <v>850</v>
      </c>
      <c r="B90" t="s">
        <v>851</v>
      </c>
      <c r="C90" s="1" t="s">
        <v>955</v>
      </c>
      <c r="D90" s="1">
        <v>128</v>
      </c>
      <c r="E90" s="1">
        <v>114</v>
      </c>
      <c r="F90" t="s">
        <v>609</v>
      </c>
    </row>
    <row r="91" spans="1:6" x14ac:dyDescent="0.3">
      <c r="A91" t="s">
        <v>641</v>
      </c>
      <c r="B91" t="s">
        <v>642</v>
      </c>
      <c r="C91" s="1" t="s">
        <v>955</v>
      </c>
      <c r="D91" s="1">
        <v>235</v>
      </c>
      <c r="E91" s="1">
        <v>215</v>
      </c>
      <c r="F91" t="s">
        <v>609</v>
      </c>
    </row>
    <row r="92" spans="1:6" x14ac:dyDescent="0.3">
      <c r="A92" t="s">
        <v>781</v>
      </c>
      <c r="B92" t="s">
        <v>782</v>
      </c>
      <c r="C92" s="1" t="s">
        <v>955</v>
      </c>
      <c r="D92" s="1">
        <v>240</v>
      </c>
      <c r="E92" s="1">
        <v>230</v>
      </c>
      <c r="F92" t="s">
        <v>609</v>
      </c>
    </row>
    <row r="93" spans="1:6" x14ac:dyDescent="0.3">
      <c r="A93" t="s">
        <v>759</v>
      </c>
      <c r="B93" t="s">
        <v>760</v>
      </c>
      <c r="C93" s="1" t="s">
        <v>955</v>
      </c>
      <c r="D93" s="1">
        <v>250</v>
      </c>
      <c r="E93" s="1">
        <v>210</v>
      </c>
      <c r="F93" t="s">
        <v>609</v>
      </c>
    </row>
    <row r="94" spans="1:6" x14ac:dyDescent="0.3">
      <c r="A94" t="s">
        <v>814</v>
      </c>
      <c r="B94" t="s">
        <v>815</v>
      </c>
      <c r="C94" s="1" t="s">
        <v>956</v>
      </c>
      <c r="D94" s="1">
        <v>245</v>
      </c>
      <c r="E94" s="1">
        <v>230</v>
      </c>
      <c r="F94" t="s">
        <v>609</v>
      </c>
    </row>
    <row r="95" spans="1:6" x14ac:dyDescent="0.3">
      <c r="A95" t="s">
        <v>629</v>
      </c>
      <c r="B95" t="s">
        <v>630</v>
      </c>
      <c r="C95" s="1" t="s">
        <v>957</v>
      </c>
      <c r="D95" s="1">
        <v>0</v>
      </c>
      <c r="E95" s="1">
        <v>0</v>
      </c>
      <c r="F95" t="s">
        <v>609</v>
      </c>
    </row>
    <row r="96" spans="1:6" x14ac:dyDescent="0.3">
      <c r="A96" t="s">
        <v>614</v>
      </c>
      <c r="B96" t="s">
        <v>615</v>
      </c>
      <c r="C96" s="1" t="s">
        <v>957</v>
      </c>
      <c r="D96" s="1">
        <v>0</v>
      </c>
      <c r="E96" s="1">
        <v>255</v>
      </c>
      <c r="F96" t="s">
        <v>609</v>
      </c>
    </row>
    <row r="97" spans="1:6" x14ac:dyDescent="0.3">
      <c r="A97" t="s">
        <v>783</v>
      </c>
      <c r="B97" t="s">
        <v>615</v>
      </c>
      <c r="C97" s="1" t="s">
        <v>957</v>
      </c>
      <c r="D97" s="1">
        <v>0</v>
      </c>
      <c r="E97" s="1">
        <v>255</v>
      </c>
      <c r="F97" t="s">
        <v>609</v>
      </c>
    </row>
    <row r="98" spans="1:6" x14ac:dyDescent="0.3">
      <c r="A98" t="s">
        <v>708</v>
      </c>
      <c r="B98" t="s">
        <v>709</v>
      </c>
      <c r="C98" s="1" t="s">
        <v>957</v>
      </c>
      <c r="D98" s="1">
        <v>20</v>
      </c>
      <c r="E98" s="1">
        <v>147</v>
      </c>
      <c r="F98" t="s">
        <v>609</v>
      </c>
    </row>
    <row r="99" spans="1:6" x14ac:dyDescent="0.3">
      <c r="A99" t="s">
        <v>820</v>
      </c>
      <c r="B99" t="s">
        <v>821</v>
      </c>
      <c r="C99" s="1" t="s">
        <v>957</v>
      </c>
      <c r="D99" s="1">
        <v>69</v>
      </c>
      <c r="E99" s="1">
        <v>0</v>
      </c>
      <c r="F99" t="s">
        <v>609</v>
      </c>
    </row>
    <row r="100" spans="1:6" x14ac:dyDescent="0.3">
      <c r="A100" t="s">
        <v>876</v>
      </c>
      <c r="B100" t="s">
        <v>877</v>
      </c>
      <c r="C100" s="1" t="s">
        <v>957</v>
      </c>
      <c r="D100" s="1">
        <v>99</v>
      </c>
      <c r="E100" s="1">
        <v>71</v>
      </c>
      <c r="F100" t="s">
        <v>609</v>
      </c>
    </row>
    <row r="101" spans="1:6" x14ac:dyDescent="0.3">
      <c r="A101" t="s">
        <v>735</v>
      </c>
      <c r="B101" t="s">
        <v>736</v>
      </c>
      <c r="C101" s="1" t="s">
        <v>957</v>
      </c>
      <c r="D101" s="1">
        <v>105</v>
      </c>
      <c r="E101" s="1">
        <v>180</v>
      </c>
      <c r="F101" t="s">
        <v>609</v>
      </c>
    </row>
    <row r="102" spans="1:6" x14ac:dyDescent="0.3">
      <c r="A102" t="s">
        <v>665</v>
      </c>
      <c r="B102" t="s">
        <v>666</v>
      </c>
      <c r="C102" s="1" t="s">
        <v>957</v>
      </c>
      <c r="D102" s="1">
        <v>127</v>
      </c>
      <c r="E102" s="1">
        <v>80</v>
      </c>
      <c r="F102" t="s">
        <v>609</v>
      </c>
    </row>
    <row r="103" spans="1:6" x14ac:dyDescent="0.3">
      <c r="A103" t="s">
        <v>690</v>
      </c>
      <c r="B103" t="s">
        <v>691</v>
      </c>
      <c r="C103" s="1" t="s">
        <v>957</v>
      </c>
      <c r="D103" s="1">
        <v>140</v>
      </c>
      <c r="E103" s="1">
        <v>0</v>
      </c>
      <c r="F103" t="s">
        <v>609</v>
      </c>
    </row>
    <row r="104" spans="1:6" x14ac:dyDescent="0.3">
      <c r="A104" t="s">
        <v>767</v>
      </c>
      <c r="B104" t="s">
        <v>768</v>
      </c>
      <c r="C104" s="1" t="s">
        <v>957</v>
      </c>
      <c r="D104" s="1">
        <v>160</v>
      </c>
      <c r="E104" s="1">
        <v>122</v>
      </c>
      <c r="F104" t="s">
        <v>609</v>
      </c>
    </row>
    <row r="105" spans="1:6" x14ac:dyDescent="0.3">
      <c r="A105" t="s">
        <v>818</v>
      </c>
      <c r="B105" t="s">
        <v>819</v>
      </c>
      <c r="C105" s="1" t="s">
        <v>957</v>
      </c>
      <c r="D105" s="1">
        <v>165</v>
      </c>
      <c r="E105" s="1">
        <v>0</v>
      </c>
      <c r="F105" t="s">
        <v>609</v>
      </c>
    </row>
    <row r="106" spans="1:6" x14ac:dyDescent="0.3">
      <c r="A106" t="s">
        <v>765</v>
      </c>
      <c r="B106" t="s">
        <v>766</v>
      </c>
      <c r="C106" s="1" t="s">
        <v>957</v>
      </c>
      <c r="D106" s="1">
        <v>182</v>
      </c>
      <c r="E106" s="1">
        <v>193</v>
      </c>
      <c r="F106" t="s">
        <v>609</v>
      </c>
    </row>
    <row r="107" spans="1:6" x14ac:dyDescent="0.3">
      <c r="A107" t="s">
        <v>838</v>
      </c>
      <c r="B107" t="s">
        <v>839</v>
      </c>
      <c r="C107" s="1" t="s">
        <v>957</v>
      </c>
      <c r="D107" s="1">
        <v>192</v>
      </c>
      <c r="E107" s="1">
        <v>203</v>
      </c>
      <c r="F107" t="s">
        <v>609</v>
      </c>
    </row>
    <row r="108" spans="1:6" x14ac:dyDescent="0.3">
      <c r="A108" t="s">
        <v>726</v>
      </c>
      <c r="B108" t="s">
        <v>727</v>
      </c>
      <c r="C108" s="1" t="s">
        <v>957</v>
      </c>
      <c r="D108" s="1">
        <v>215</v>
      </c>
      <c r="E108" s="1">
        <v>0</v>
      </c>
      <c r="F108" t="s">
        <v>609</v>
      </c>
    </row>
    <row r="109" spans="1:6" x14ac:dyDescent="0.3">
      <c r="A109" t="s">
        <v>834</v>
      </c>
      <c r="B109" t="s">
        <v>835</v>
      </c>
      <c r="C109" s="1" t="s">
        <v>957</v>
      </c>
      <c r="D109" s="1">
        <v>218</v>
      </c>
      <c r="E109" s="1">
        <v>185</v>
      </c>
      <c r="F109" t="s">
        <v>609</v>
      </c>
    </row>
    <row r="110" spans="1:6" x14ac:dyDescent="0.3">
      <c r="A110" t="s">
        <v>810</v>
      </c>
      <c r="B110" t="s">
        <v>811</v>
      </c>
      <c r="C110" s="1" t="s">
        <v>957</v>
      </c>
      <c r="D110" s="1">
        <v>222</v>
      </c>
      <c r="E110" s="1">
        <v>173</v>
      </c>
      <c r="F110" t="s">
        <v>609</v>
      </c>
    </row>
    <row r="111" spans="1:6" x14ac:dyDescent="0.3">
      <c r="A111" t="s">
        <v>808</v>
      </c>
      <c r="B111" t="s">
        <v>809</v>
      </c>
      <c r="C111" s="1" t="s">
        <v>957</v>
      </c>
      <c r="D111" s="1">
        <v>228</v>
      </c>
      <c r="E111" s="1">
        <v>181</v>
      </c>
      <c r="F111" t="s">
        <v>609</v>
      </c>
    </row>
    <row r="112" spans="1:6" x14ac:dyDescent="0.3">
      <c r="A112" t="s">
        <v>649</v>
      </c>
      <c r="B112" t="s">
        <v>650</v>
      </c>
      <c r="C112" s="1" t="s">
        <v>957</v>
      </c>
      <c r="D112" s="1">
        <v>228</v>
      </c>
      <c r="E112" s="1">
        <v>196</v>
      </c>
      <c r="F112" t="s">
        <v>609</v>
      </c>
    </row>
    <row r="113" spans="1:6" x14ac:dyDescent="0.3">
      <c r="A113" t="s">
        <v>806</v>
      </c>
      <c r="B113" t="s">
        <v>807</v>
      </c>
      <c r="C113" s="1" t="s">
        <v>957</v>
      </c>
      <c r="D113" s="1">
        <v>228</v>
      </c>
      <c r="E113" s="1">
        <v>225</v>
      </c>
      <c r="F113" t="s">
        <v>609</v>
      </c>
    </row>
    <row r="114" spans="1:6" x14ac:dyDescent="0.3">
      <c r="A114" t="s">
        <v>651</v>
      </c>
      <c r="B114" t="s">
        <v>652</v>
      </c>
      <c r="C114" s="1" t="s">
        <v>957</v>
      </c>
      <c r="D114" s="1">
        <v>235</v>
      </c>
      <c r="E114" s="1">
        <v>205</v>
      </c>
      <c r="F114" t="s">
        <v>609</v>
      </c>
    </row>
    <row r="115" spans="1:6" x14ac:dyDescent="0.3">
      <c r="A115" t="s">
        <v>832</v>
      </c>
      <c r="B115" t="s">
        <v>833</v>
      </c>
      <c r="C115" s="1" t="s">
        <v>957</v>
      </c>
      <c r="D115" s="1">
        <v>239</v>
      </c>
      <c r="E115" s="1">
        <v>213</v>
      </c>
      <c r="F115" t="s">
        <v>609</v>
      </c>
    </row>
    <row r="116" spans="1:6" x14ac:dyDescent="0.3">
      <c r="A116" t="s">
        <v>747</v>
      </c>
      <c r="B116" t="s">
        <v>748</v>
      </c>
      <c r="C116" s="1" t="s">
        <v>957</v>
      </c>
      <c r="D116" s="1">
        <v>240</v>
      </c>
      <c r="E116" s="1">
        <v>245</v>
      </c>
      <c r="F116" t="s">
        <v>609</v>
      </c>
    </row>
    <row r="117" spans="1:6" x14ac:dyDescent="0.3">
      <c r="A117" t="s">
        <v>856</v>
      </c>
      <c r="B117" t="s">
        <v>857</v>
      </c>
      <c r="C117" s="1" t="s">
        <v>957</v>
      </c>
      <c r="D117" s="1">
        <v>245</v>
      </c>
      <c r="E117" s="1">
        <v>238</v>
      </c>
      <c r="F117" t="s">
        <v>609</v>
      </c>
    </row>
    <row r="118" spans="1:6" x14ac:dyDescent="0.3">
      <c r="A118" t="s">
        <v>669</v>
      </c>
      <c r="B118" t="s">
        <v>670</v>
      </c>
      <c r="C118" s="1" t="s">
        <v>957</v>
      </c>
      <c r="D118" s="1">
        <v>248</v>
      </c>
      <c r="E118" s="1">
        <v>220</v>
      </c>
      <c r="F118" t="s">
        <v>609</v>
      </c>
    </row>
    <row r="119" spans="1:6" x14ac:dyDescent="0.3">
      <c r="A119" t="s">
        <v>751</v>
      </c>
      <c r="B119" t="s">
        <v>752</v>
      </c>
      <c r="C119" s="1" t="s">
        <v>957</v>
      </c>
      <c r="D119" s="1">
        <v>250</v>
      </c>
      <c r="E119" s="1">
        <v>205</v>
      </c>
      <c r="F119" t="s">
        <v>609</v>
      </c>
    </row>
    <row r="120" spans="1:6" x14ac:dyDescent="0.3">
      <c r="A120" t="s">
        <v>718</v>
      </c>
      <c r="B120" t="s">
        <v>719</v>
      </c>
      <c r="C120" s="1" t="s">
        <v>957</v>
      </c>
      <c r="D120" s="1">
        <v>250</v>
      </c>
      <c r="E120" s="1">
        <v>240</v>
      </c>
      <c r="F120" t="s">
        <v>609</v>
      </c>
    </row>
    <row r="121" spans="1:6" x14ac:dyDescent="0.3">
      <c r="A121" t="s">
        <v>866</v>
      </c>
      <c r="B121" t="s">
        <v>867</v>
      </c>
      <c r="C121" s="1" t="s">
        <v>957</v>
      </c>
      <c r="D121" s="1">
        <v>250</v>
      </c>
      <c r="E121" s="1">
        <v>250</v>
      </c>
      <c r="F121" t="s">
        <v>609</v>
      </c>
    </row>
    <row r="122" spans="1:6" x14ac:dyDescent="0.3">
      <c r="A122" t="s">
        <v>637</v>
      </c>
      <c r="B122" t="s">
        <v>638</v>
      </c>
      <c r="C122" s="1" t="s">
        <v>957</v>
      </c>
      <c r="D122" s="1">
        <v>255</v>
      </c>
      <c r="E122" s="1">
        <v>0</v>
      </c>
      <c r="F122" t="s">
        <v>609</v>
      </c>
    </row>
    <row r="123" spans="1:6" x14ac:dyDescent="0.3">
      <c r="A123" t="s">
        <v>777</v>
      </c>
      <c r="B123" t="s">
        <v>778</v>
      </c>
      <c r="C123" s="1" t="s">
        <v>957</v>
      </c>
      <c r="D123" s="1">
        <v>255</v>
      </c>
      <c r="E123" s="1">
        <v>224</v>
      </c>
      <c r="F123" t="s">
        <v>609</v>
      </c>
    </row>
    <row r="124" spans="1:6" x14ac:dyDescent="0.3">
      <c r="A124" t="s">
        <v>741</v>
      </c>
      <c r="B124" t="s">
        <v>742</v>
      </c>
      <c r="C124" s="1" t="s">
        <v>957</v>
      </c>
      <c r="D124" s="1">
        <v>255</v>
      </c>
      <c r="E124" s="1">
        <v>240</v>
      </c>
      <c r="F124" t="s">
        <v>609</v>
      </c>
    </row>
    <row r="125" spans="1:6" x14ac:dyDescent="0.3">
      <c r="A125" t="s">
        <v>635</v>
      </c>
      <c r="B125" t="s">
        <v>636</v>
      </c>
      <c r="C125" s="1" t="s">
        <v>957</v>
      </c>
      <c r="D125" s="1">
        <v>255</v>
      </c>
      <c r="E125" s="1">
        <v>255</v>
      </c>
      <c r="F125" t="s">
        <v>609</v>
      </c>
    </row>
    <row r="126" spans="1:6" x14ac:dyDescent="0.3">
      <c r="A126" t="s">
        <v>714</v>
      </c>
      <c r="B126" t="s">
        <v>715</v>
      </c>
      <c r="C126" s="1" t="s">
        <v>890</v>
      </c>
      <c r="D126" s="1">
        <v>144</v>
      </c>
      <c r="E126" s="1">
        <v>255</v>
      </c>
      <c r="F126" t="s">
        <v>609</v>
      </c>
    </row>
    <row r="127" spans="1:6" x14ac:dyDescent="0.3">
      <c r="A127" t="s">
        <v>769</v>
      </c>
      <c r="B127" t="s">
        <v>770</v>
      </c>
      <c r="C127" s="1" t="s">
        <v>891</v>
      </c>
      <c r="D127" s="1">
        <v>178</v>
      </c>
      <c r="E127" s="1">
        <v>170</v>
      </c>
      <c r="F127" t="s">
        <v>609</v>
      </c>
    </row>
    <row r="128" spans="1:6" x14ac:dyDescent="0.3">
      <c r="A128" t="s">
        <v>720</v>
      </c>
      <c r="B128" t="s">
        <v>721</v>
      </c>
      <c r="C128" s="1" t="s">
        <v>892</v>
      </c>
      <c r="D128" s="1">
        <v>139</v>
      </c>
      <c r="E128" s="1">
        <v>34</v>
      </c>
      <c r="F128" t="s">
        <v>609</v>
      </c>
    </row>
    <row r="129" spans="1:6" x14ac:dyDescent="0.3">
      <c r="A129" t="s">
        <v>854</v>
      </c>
      <c r="B129" t="s">
        <v>855</v>
      </c>
      <c r="C129" s="1" t="s">
        <v>893</v>
      </c>
      <c r="D129" s="1">
        <v>139</v>
      </c>
      <c r="E129" s="1">
        <v>87</v>
      </c>
      <c r="F129" t="s">
        <v>609</v>
      </c>
    </row>
    <row r="130" spans="1:6" x14ac:dyDescent="0.3">
      <c r="A130" t="s">
        <v>702</v>
      </c>
      <c r="B130" t="s">
        <v>703</v>
      </c>
      <c r="C130" s="1" t="s">
        <v>894</v>
      </c>
      <c r="D130" s="1">
        <v>79</v>
      </c>
      <c r="E130" s="1">
        <v>79</v>
      </c>
      <c r="F130" t="s">
        <v>609</v>
      </c>
    </row>
    <row r="131" spans="1:6" x14ac:dyDescent="0.3">
      <c r="A131" t="s">
        <v>779</v>
      </c>
      <c r="B131" t="s">
        <v>780</v>
      </c>
      <c r="C131" s="1" t="s">
        <v>895</v>
      </c>
      <c r="D131" s="1">
        <v>205</v>
      </c>
      <c r="E131" s="1">
        <v>50</v>
      </c>
      <c r="F131" t="s">
        <v>609</v>
      </c>
    </row>
    <row r="132" spans="1:6" x14ac:dyDescent="0.3">
      <c r="A132" t="s">
        <v>792</v>
      </c>
      <c r="B132" t="s">
        <v>793</v>
      </c>
      <c r="C132" s="1" t="s">
        <v>896</v>
      </c>
      <c r="D132" s="1">
        <v>179</v>
      </c>
      <c r="E132" s="1">
        <v>113</v>
      </c>
      <c r="F132" t="s">
        <v>609</v>
      </c>
    </row>
    <row r="133" spans="1:6" x14ac:dyDescent="0.3">
      <c r="A133" t="s">
        <v>878</v>
      </c>
      <c r="B133" t="s">
        <v>879</v>
      </c>
      <c r="C133" s="1" t="s">
        <v>897</v>
      </c>
      <c r="D133" s="1">
        <v>224</v>
      </c>
      <c r="E133" s="1">
        <v>208</v>
      </c>
      <c r="F133" t="s">
        <v>609</v>
      </c>
    </row>
    <row r="134" spans="1:6" x14ac:dyDescent="0.3">
      <c r="A134" t="s">
        <v>846</v>
      </c>
      <c r="B134" t="s">
        <v>847</v>
      </c>
      <c r="C134" s="1" t="s">
        <v>898</v>
      </c>
      <c r="D134" s="1">
        <v>105</v>
      </c>
      <c r="E134" s="1">
        <v>225</v>
      </c>
      <c r="F134" t="s">
        <v>609</v>
      </c>
    </row>
    <row r="135" spans="1:6" x14ac:dyDescent="0.3">
      <c r="A135" t="s">
        <v>870</v>
      </c>
      <c r="B135" t="s">
        <v>871</v>
      </c>
      <c r="C135" s="1" t="s">
        <v>899</v>
      </c>
      <c r="D135" s="1">
        <v>130</v>
      </c>
      <c r="E135" s="1">
        <v>180</v>
      </c>
      <c r="F135" t="s">
        <v>609</v>
      </c>
    </row>
    <row r="136" spans="1:6" x14ac:dyDescent="0.3">
      <c r="A136" t="s">
        <v>700</v>
      </c>
      <c r="B136" t="s">
        <v>701</v>
      </c>
      <c r="C136" s="1" t="s">
        <v>900</v>
      </c>
      <c r="D136" s="1">
        <v>61</v>
      </c>
      <c r="E136" s="1">
        <v>139</v>
      </c>
      <c r="F136" t="s">
        <v>609</v>
      </c>
    </row>
    <row r="137" spans="1:6" x14ac:dyDescent="0.3">
      <c r="A137" t="s">
        <v>798</v>
      </c>
      <c r="B137" t="s">
        <v>799</v>
      </c>
      <c r="C137" s="1" t="s">
        <v>900</v>
      </c>
      <c r="D137" s="1">
        <v>209</v>
      </c>
      <c r="E137" s="1">
        <v>204</v>
      </c>
      <c r="F137" t="s">
        <v>609</v>
      </c>
    </row>
    <row r="138" spans="1:6" x14ac:dyDescent="0.3">
      <c r="A138" t="s">
        <v>739</v>
      </c>
      <c r="B138" t="s">
        <v>740</v>
      </c>
      <c r="C138" s="1" t="s">
        <v>901</v>
      </c>
      <c r="D138" s="1">
        <v>0</v>
      </c>
      <c r="E138" s="1">
        <v>130</v>
      </c>
      <c r="F138" t="s">
        <v>609</v>
      </c>
    </row>
    <row r="139" spans="1:6" x14ac:dyDescent="0.3">
      <c r="A139" t="s">
        <v>688</v>
      </c>
      <c r="B139" t="s">
        <v>689</v>
      </c>
      <c r="C139" s="1" t="s">
        <v>902</v>
      </c>
      <c r="D139" s="1">
        <v>107</v>
      </c>
      <c r="E139" s="1">
        <v>47</v>
      </c>
      <c r="F139" t="s">
        <v>609</v>
      </c>
    </row>
    <row r="140" spans="1:6" x14ac:dyDescent="0.3">
      <c r="A140" t="s">
        <v>659</v>
      </c>
      <c r="B140" t="s">
        <v>660</v>
      </c>
      <c r="C140" s="1" t="s">
        <v>903</v>
      </c>
      <c r="D140" s="1">
        <v>158</v>
      </c>
      <c r="E140" s="1">
        <v>160</v>
      </c>
      <c r="F140" t="s">
        <v>609</v>
      </c>
    </row>
    <row r="141" spans="1:6" x14ac:dyDescent="0.3">
      <c r="A141" t="s">
        <v>661</v>
      </c>
      <c r="B141" t="s">
        <v>662</v>
      </c>
      <c r="C141" s="1" t="s">
        <v>903</v>
      </c>
      <c r="D141" s="1">
        <v>158</v>
      </c>
      <c r="E141" s="1">
        <v>160</v>
      </c>
      <c r="F141" t="s">
        <v>609</v>
      </c>
    </row>
  </sheetData>
  <sortState xmlns:xlrd2="http://schemas.microsoft.com/office/spreadsheetml/2017/richdata2" ref="A1:F159">
    <sortCondition ref="C1:C159"/>
    <sortCondition ref="D1:D159"/>
    <sortCondition ref="E1:E1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71BF-3909-4E79-B052-977A0DC8C8D4}">
  <dimension ref="E4:J65"/>
  <sheetViews>
    <sheetView tabSelected="1" workbookViewId="0">
      <selection activeCell="G9" sqref="G9"/>
    </sheetView>
  </sheetViews>
  <sheetFormatPr defaultRowHeight="14.4" x14ac:dyDescent="0.3"/>
  <cols>
    <col min="10" max="10" width="11" bestFit="1" customWidth="1"/>
  </cols>
  <sheetData>
    <row r="4" spans="5:10" x14ac:dyDescent="0.3">
      <c r="I4" s="5" t="s">
        <v>958</v>
      </c>
      <c r="J4">
        <v>20</v>
      </c>
    </row>
    <row r="5" spans="5:10" x14ac:dyDescent="0.3">
      <c r="I5" s="5" t="s">
        <v>959</v>
      </c>
      <c r="J5">
        <v>1.5</v>
      </c>
    </row>
    <row r="8" spans="5:10" x14ac:dyDescent="0.3">
      <c r="E8" s="5" t="s">
        <v>961</v>
      </c>
      <c r="F8" s="6" t="s">
        <v>962</v>
      </c>
      <c r="G8" s="6" t="s">
        <v>964</v>
      </c>
      <c r="I8" s="6" t="s">
        <v>960</v>
      </c>
      <c r="J8" s="5" t="s">
        <v>958</v>
      </c>
    </row>
    <row r="9" spans="5:10" x14ac:dyDescent="0.3">
      <c r="F9" s="7">
        <v>8</v>
      </c>
      <c r="G9" s="7">
        <v>0.6</v>
      </c>
      <c r="H9" s="7">
        <v>-0.26</v>
      </c>
      <c r="I9" s="7">
        <v>0</v>
      </c>
      <c r="J9" s="7">
        <f>$J$4</f>
        <v>20</v>
      </c>
    </row>
    <row r="10" spans="5:10" x14ac:dyDescent="0.3">
      <c r="E10">
        <v>-8</v>
      </c>
      <c r="F10">
        <f>E10+$F$9</f>
        <v>0</v>
      </c>
      <c r="G10">
        <f>F10*$G$9</f>
        <v>0</v>
      </c>
      <c r="H10">
        <f>EXP(G10*$H$9)</f>
        <v>1</v>
      </c>
      <c r="I10">
        <f>H10+$I$9</f>
        <v>1</v>
      </c>
      <c r="J10">
        <f>I10*$J$9</f>
        <v>20</v>
      </c>
    </row>
    <row r="11" spans="5:10" x14ac:dyDescent="0.3">
      <c r="E11">
        <v>-7</v>
      </c>
      <c r="F11">
        <f t="shared" ref="F11:F38" si="0">E11+$F$9</f>
        <v>1</v>
      </c>
      <c r="G11">
        <f t="shared" ref="G11:G38" si="1">F11*$G$9</f>
        <v>0.6</v>
      </c>
      <c r="H11">
        <f t="shared" ref="H11:H38" si="2">EXP(G11*$H$9)</f>
        <v>0.85555919037101846</v>
      </c>
      <c r="I11">
        <f t="shared" ref="I11:I38" si="3">H11+$I$9</f>
        <v>0.85555919037101846</v>
      </c>
      <c r="J11">
        <f t="shared" ref="J11:J38" si="4">I11*$J$9</f>
        <v>17.111183807420367</v>
      </c>
    </row>
    <row r="12" spans="5:10" x14ac:dyDescent="0.3">
      <c r="E12">
        <v>-6</v>
      </c>
      <c r="F12">
        <f t="shared" si="0"/>
        <v>2</v>
      </c>
      <c r="G12">
        <f t="shared" si="1"/>
        <v>1.2</v>
      </c>
      <c r="H12">
        <f t="shared" si="2"/>
        <v>0.73198152822831264</v>
      </c>
      <c r="I12">
        <f t="shared" si="3"/>
        <v>0.73198152822831264</v>
      </c>
      <c r="J12">
        <f t="shared" si="4"/>
        <v>14.639630564566254</v>
      </c>
    </row>
    <row r="13" spans="5:10" x14ac:dyDescent="0.3">
      <c r="E13">
        <v>-5</v>
      </c>
      <c r="F13">
        <f t="shared" si="0"/>
        <v>3</v>
      </c>
      <c r="G13">
        <f t="shared" si="1"/>
        <v>1.7999999999999998</v>
      </c>
      <c r="H13">
        <f t="shared" si="2"/>
        <v>0.62625352365755593</v>
      </c>
      <c r="I13">
        <f t="shared" si="3"/>
        <v>0.62625352365755593</v>
      </c>
      <c r="J13">
        <f t="shared" si="4"/>
        <v>12.525070473151118</v>
      </c>
    </row>
    <row r="14" spans="5:10" x14ac:dyDescent="0.3">
      <c r="E14">
        <v>-4</v>
      </c>
      <c r="F14">
        <f t="shared" si="0"/>
        <v>4</v>
      </c>
      <c r="G14">
        <f t="shared" si="1"/>
        <v>2.4</v>
      </c>
      <c r="H14">
        <f t="shared" si="2"/>
        <v>0.53579695766745605</v>
      </c>
      <c r="I14">
        <f t="shared" si="3"/>
        <v>0.53579695766745605</v>
      </c>
      <c r="J14">
        <f t="shared" si="4"/>
        <v>10.715939153349121</v>
      </c>
    </row>
    <row r="15" spans="5:10" x14ac:dyDescent="0.3">
      <c r="E15">
        <v>-3</v>
      </c>
      <c r="F15">
        <f t="shared" si="0"/>
        <v>5</v>
      </c>
      <c r="G15">
        <f t="shared" si="1"/>
        <v>3</v>
      </c>
      <c r="H15">
        <f t="shared" si="2"/>
        <v>0.45840601130522352</v>
      </c>
      <c r="I15">
        <f t="shared" si="3"/>
        <v>0.45840601130522352</v>
      </c>
      <c r="J15">
        <f t="shared" si="4"/>
        <v>9.1681202261044703</v>
      </c>
    </row>
    <row r="16" spans="5:10" x14ac:dyDescent="0.3">
      <c r="E16">
        <v>-2</v>
      </c>
      <c r="F16">
        <f t="shared" si="0"/>
        <v>6</v>
      </c>
      <c r="G16">
        <f t="shared" si="1"/>
        <v>3.5999999999999996</v>
      </c>
      <c r="H16">
        <f t="shared" si="2"/>
        <v>0.39219347589350501</v>
      </c>
      <c r="I16">
        <f t="shared" si="3"/>
        <v>0.39219347589350501</v>
      </c>
      <c r="J16">
        <f t="shared" si="4"/>
        <v>7.8438695178701003</v>
      </c>
    </row>
    <row r="17" spans="5:10" x14ac:dyDescent="0.3">
      <c r="E17">
        <v>-1</v>
      </c>
      <c r="F17">
        <f t="shared" si="0"/>
        <v>7</v>
      </c>
      <c r="G17">
        <f t="shared" si="1"/>
        <v>4.2</v>
      </c>
      <c r="H17">
        <f t="shared" si="2"/>
        <v>0.33554473270424268</v>
      </c>
      <c r="I17">
        <f t="shared" si="3"/>
        <v>0.33554473270424268</v>
      </c>
      <c r="J17">
        <f t="shared" si="4"/>
        <v>6.7108946540848535</v>
      </c>
    </row>
    <row r="18" spans="5:10" x14ac:dyDescent="0.3">
      <c r="E18">
        <v>0</v>
      </c>
      <c r="F18">
        <f t="shared" si="0"/>
        <v>8</v>
      </c>
      <c r="G18">
        <f t="shared" si="1"/>
        <v>4.8</v>
      </c>
      <c r="H18">
        <f t="shared" si="2"/>
        <v>0.28707837984570167</v>
      </c>
      <c r="I18">
        <f t="shared" si="3"/>
        <v>0.28707837984570167</v>
      </c>
      <c r="J18">
        <f t="shared" si="4"/>
        <v>5.7415675969140336</v>
      </c>
    </row>
    <row r="19" spans="5:10" x14ac:dyDescent="0.3">
      <c r="E19">
        <v>1</v>
      </c>
      <c r="F19">
        <f t="shared" si="0"/>
        <v>9</v>
      </c>
      <c r="G19">
        <f t="shared" si="1"/>
        <v>5.3999999999999995</v>
      </c>
      <c r="H19">
        <f t="shared" si="2"/>
        <v>0.24561254623381226</v>
      </c>
      <c r="I19">
        <f t="shared" si="3"/>
        <v>0.24561254623381226</v>
      </c>
      <c r="J19">
        <f t="shared" si="4"/>
        <v>4.9122509246762451</v>
      </c>
    </row>
    <row r="20" spans="5:10" x14ac:dyDescent="0.3">
      <c r="E20">
        <v>2</v>
      </c>
      <c r="F20">
        <f t="shared" si="0"/>
        <v>10</v>
      </c>
      <c r="G20">
        <f t="shared" si="1"/>
        <v>6</v>
      </c>
      <c r="H20">
        <f t="shared" si="2"/>
        <v>0.21013607120076472</v>
      </c>
      <c r="I20">
        <f t="shared" si="3"/>
        <v>0.21013607120076472</v>
      </c>
      <c r="J20">
        <f t="shared" si="4"/>
        <v>4.2027214240152944</v>
      </c>
    </row>
    <row r="21" spans="5:10" x14ac:dyDescent="0.3">
      <c r="E21">
        <v>3</v>
      </c>
      <c r="F21">
        <f t="shared" si="0"/>
        <v>11</v>
      </c>
      <c r="G21">
        <f t="shared" si="1"/>
        <v>6.6</v>
      </c>
      <c r="H21">
        <f t="shared" si="2"/>
        <v>0.17978384694427296</v>
      </c>
      <c r="I21">
        <f t="shared" si="3"/>
        <v>0.17978384694427296</v>
      </c>
      <c r="J21">
        <f t="shared" si="4"/>
        <v>3.5956769388854593</v>
      </c>
    </row>
    <row r="22" spans="5:10" x14ac:dyDescent="0.3">
      <c r="E22">
        <v>4</v>
      </c>
      <c r="F22">
        <f t="shared" si="0"/>
        <v>12</v>
      </c>
      <c r="G22">
        <f t="shared" si="1"/>
        <v>7.1999999999999993</v>
      </c>
      <c r="H22">
        <f t="shared" si="2"/>
        <v>0.15381572253342932</v>
      </c>
      <c r="I22">
        <f t="shared" si="3"/>
        <v>0.15381572253342932</v>
      </c>
      <c r="J22">
        <f t="shared" si="4"/>
        <v>3.0763144506685864</v>
      </c>
    </row>
    <row r="23" spans="5:10" x14ac:dyDescent="0.3">
      <c r="E23">
        <v>5</v>
      </c>
      <c r="F23">
        <f t="shared" si="0"/>
        <v>13</v>
      </c>
      <c r="G23">
        <f t="shared" si="1"/>
        <v>7.8</v>
      </c>
      <c r="H23">
        <f t="shared" si="2"/>
        <v>0.13159845503703399</v>
      </c>
      <c r="I23">
        <f t="shared" si="3"/>
        <v>0.13159845503703399</v>
      </c>
      <c r="J23">
        <f t="shared" si="4"/>
        <v>2.6319691007406796</v>
      </c>
    </row>
    <row r="24" spans="5:10" x14ac:dyDescent="0.3">
      <c r="E24">
        <v>6</v>
      </c>
      <c r="F24">
        <f t="shared" si="0"/>
        <v>14</v>
      </c>
      <c r="G24">
        <f t="shared" si="1"/>
        <v>8.4</v>
      </c>
      <c r="H24">
        <f t="shared" si="2"/>
        <v>0.11259026764556165</v>
      </c>
      <c r="I24">
        <f t="shared" si="3"/>
        <v>0.11259026764556165</v>
      </c>
      <c r="J24">
        <f t="shared" si="4"/>
        <v>2.2518053529112332</v>
      </c>
    </row>
    <row r="25" spans="5:10" x14ac:dyDescent="0.3">
      <c r="E25">
        <v>7</v>
      </c>
      <c r="F25">
        <f t="shared" si="0"/>
        <v>15</v>
      </c>
      <c r="G25">
        <f t="shared" si="1"/>
        <v>9</v>
      </c>
      <c r="H25">
        <f t="shared" si="2"/>
        <v>9.6327638230493035E-2</v>
      </c>
      <c r="I25">
        <f t="shared" si="3"/>
        <v>9.6327638230493035E-2</v>
      </c>
      <c r="J25">
        <f t="shared" si="4"/>
        <v>1.9265527646098608</v>
      </c>
    </row>
    <row r="26" spans="5:10" x14ac:dyDescent="0.3">
      <c r="E26">
        <v>8</v>
      </c>
      <c r="F26">
        <f t="shared" si="0"/>
        <v>16</v>
      </c>
      <c r="G26">
        <f t="shared" si="1"/>
        <v>9.6</v>
      </c>
      <c r="H26">
        <f t="shared" si="2"/>
        <v>8.2413996174832971E-2</v>
      </c>
      <c r="I26">
        <f t="shared" si="3"/>
        <v>8.2413996174832971E-2</v>
      </c>
      <c r="J26">
        <f t="shared" si="4"/>
        <v>1.6482799234966594</v>
      </c>
    </row>
    <row r="27" spans="5:10" x14ac:dyDescent="0.3">
      <c r="E27">
        <v>9</v>
      </c>
      <c r="F27">
        <f t="shared" si="0"/>
        <v>17</v>
      </c>
      <c r="G27">
        <f t="shared" si="1"/>
        <v>10.199999999999999</v>
      </c>
      <c r="H27">
        <f t="shared" si="2"/>
        <v>7.0510051842580329E-2</v>
      </c>
      <c r="I27">
        <f t="shared" si="3"/>
        <v>7.0510051842580329E-2</v>
      </c>
      <c r="J27">
        <f t="shared" si="4"/>
        <v>1.4102010368516065</v>
      </c>
    </row>
    <row r="28" spans="5:10" x14ac:dyDescent="0.3">
      <c r="E28">
        <v>10</v>
      </c>
      <c r="F28">
        <f t="shared" si="0"/>
        <v>18</v>
      </c>
      <c r="G28">
        <f t="shared" si="1"/>
        <v>10.799999999999999</v>
      </c>
      <c r="H28">
        <f t="shared" si="2"/>
        <v>6.0325522867456564E-2</v>
      </c>
      <c r="I28">
        <f t="shared" si="3"/>
        <v>6.0325522867456564E-2</v>
      </c>
      <c r="J28">
        <f t="shared" si="4"/>
        <v>1.2065104573491312</v>
      </c>
    </row>
    <row r="29" spans="5:10" x14ac:dyDescent="0.3">
      <c r="E29">
        <v>11</v>
      </c>
      <c r="F29">
        <f t="shared" si="0"/>
        <v>19</v>
      </c>
      <c r="G29">
        <f t="shared" si="1"/>
        <v>11.4</v>
      </c>
      <c r="H29">
        <f t="shared" si="2"/>
        <v>5.1612055503189466E-2</v>
      </c>
      <c r="I29">
        <f t="shared" si="3"/>
        <v>5.1612055503189466E-2</v>
      </c>
      <c r="J29">
        <f t="shared" si="4"/>
        <v>1.0322411100637894</v>
      </c>
    </row>
    <row r="30" spans="5:10" x14ac:dyDescent="0.3">
      <c r="E30">
        <v>12</v>
      </c>
      <c r="F30">
        <f t="shared" si="0"/>
        <v>20</v>
      </c>
      <c r="G30">
        <f t="shared" si="1"/>
        <v>12</v>
      </c>
      <c r="H30">
        <f t="shared" si="2"/>
        <v>4.415716841969286E-2</v>
      </c>
      <c r="I30">
        <f t="shared" si="3"/>
        <v>4.415716841969286E-2</v>
      </c>
      <c r="J30">
        <f t="shared" si="4"/>
        <v>0.88314336839385721</v>
      </c>
    </row>
    <row r="31" spans="5:10" x14ac:dyDescent="0.3">
      <c r="E31">
        <v>13</v>
      </c>
      <c r="F31">
        <f t="shared" si="0"/>
        <v>21</v>
      </c>
      <c r="G31">
        <f t="shared" si="1"/>
        <v>12.6</v>
      </c>
      <c r="H31">
        <f t="shared" si="2"/>
        <v>3.7779071262229139E-2</v>
      </c>
      <c r="I31">
        <f t="shared" si="3"/>
        <v>3.7779071262229139E-2</v>
      </c>
      <c r="J31">
        <f t="shared" si="4"/>
        <v>0.75558142524458272</v>
      </c>
    </row>
    <row r="32" spans="5:10" x14ac:dyDescent="0.3">
      <c r="E32">
        <v>14</v>
      </c>
      <c r="F32">
        <f t="shared" si="0"/>
        <v>22</v>
      </c>
      <c r="G32">
        <f t="shared" si="1"/>
        <v>13.2</v>
      </c>
      <c r="H32">
        <f t="shared" si="2"/>
        <v>3.2322231622081768E-2</v>
      </c>
      <c r="I32">
        <f t="shared" si="3"/>
        <v>3.2322231622081768E-2</v>
      </c>
      <c r="J32">
        <f t="shared" si="4"/>
        <v>0.6464446324416353</v>
      </c>
    </row>
    <row r="33" spans="5:10" x14ac:dyDescent="0.3">
      <c r="E33">
        <v>15</v>
      </c>
      <c r="F33">
        <f t="shared" si="0"/>
        <v>23</v>
      </c>
      <c r="G33">
        <f t="shared" si="1"/>
        <v>13.799999999999999</v>
      </c>
      <c r="H33">
        <f t="shared" si="2"/>
        <v>2.7653582317572818E-2</v>
      </c>
      <c r="I33">
        <f t="shared" si="3"/>
        <v>2.7653582317572818E-2</v>
      </c>
      <c r="J33">
        <f t="shared" si="4"/>
        <v>0.55307164635145634</v>
      </c>
    </row>
    <row r="34" spans="5:10" x14ac:dyDescent="0.3">
      <c r="E34">
        <v>16</v>
      </c>
      <c r="F34">
        <f t="shared" si="0"/>
        <v>24</v>
      </c>
      <c r="G34">
        <f t="shared" si="1"/>
        <v>14.399999999999999</v>
      </c>
      <c r="H34">
        <f t="shared" si="2"/>
        <v>2.3659276498480913E-2</v>
      </c>
      <c r="I34">
        <f t="shared" si="3"/>
        <v>2.3659276498480913E-2</v>
      </c>
      <c r="J34">
        <f t="shared" si="4"/>
        <v>0.47318552996961827</v>
      </c>
    </row>
    <row r="35" spans="5:10" x14ac:dyDescent="0.3">
      <c r="E35">
        <v>17</v>
      </c>
      <c r="F35">
        <f t="shared" si="0"/>
        <v>25</v>
      </c>
      <c r="G35">
        <f t="shared" si="1"/>
        <v>15</v>
      </c>
      <c r="H35">
        <f t="shared" si="2"/>
        <v>2.0241911445804381E-2</v>
      </c>
      <c r="I35">
        <f t="shared" si="3"/>
        <v>2.0241911445804381E-2</v>
      </c>
      <c r="J35">
        <f t="shared" si="4"/>
        <v>0.40483822891608762</v>
      </c>
    </row>
    <row r="36" spans="5:10" x14ac:dyDescent="0.3">
      <c r="E36">
        <v>18</v>
      </c>
      <c r="F36">
        <f t="shared" si="0"/>
        <v>26</v>
      </c>
      <c r="G36">
        <f t="shared" si="1"/>
        <v>15.6</v>
      </c>
      <c r="H36">
        <f t="shared" si="2"/>
        <v>1.7318153368134255E-2</v>
      </c>
      <c r="I36">
        <f t="shared" si="3"/>
        <v>1.7318153368134255E-2</v>
      </c>
      <c r="J36">
        <f t="shared" si="4"/>
        <v>0.34636306736268507</v>
      </c>
    </row>
    <row r="37" spans="5:10" x14ac:dyDescent="0.3">
      <c r="E37">
        <v>19</v>
      </c>
      <c r="F37">
        <f t="shared" si="0"/>
        <v>27</v>
      </c>
      <c r="G37">
        <f t="shared" si="1"/>
        <v>16.2</v>
      </c>
      <c r="H37">
        <f t="shared" si="2"/>
        <v>1.4816705274362072E-2</v>
      </c>
      <c r="I37">
        <f t="shared" si="3"/>
        <v>1.4816705274362072E-2</v>
      </c>
      <c r="J37">
        <f t="shared" si="4"/>
        <v>0.29633410548724143</v>
      </c>
    </row>
    <row r="38" spans="5:10" x14ac:dyDescent="0.3">
      <c r="E38">
        <v>20</v>
      </c>
      <c r="F38">
        <f t="shared" si="0"/>
        <v>28</v>
      </c>
      <c r="G38">
        <f t="shared" si="1"/>
        <v>16.8</v>
      </c>
      <c r="H38">
        <f t="shared" si="2"/>
        <v>1.2676568368499208E-2</v>
      </c>
      <c r="I38">
        <f t="shared" si="3"/>
        <v>1.2676568368499208E-2</v>
      </c>
      <c r="J38">
        <f t="shared" si="4"/>
        <v>0.25353136736998416</v>
      </c>
    </row>
    <row r="41" spans="5:10" x14ac:dyDescent="0.3">
      <c r="E41" s="5" t="s">
        <v>961</v>
      </c>
      <c r="F41" s="6">
        <v>2</v>
      </c>
      <c r="G41" s="6" t="s">
        <v>963</v>
      </c>
      <c r="I41" s="6">
        <v>0</v>
      </c>
      <c r="J41" s="5" t="s">
        <v>958</v>
      </c>
    </row>
    <row r="42" spans="5:10" x14ac:dyDescent="0.3">
      <c r="F42" s="7">
        <v>2</v>
      </c>
      <c r="G42" s="7">
        <v>1</v>
      </c>
      <c r="H42" s="7">
        <v>-0.26</v>
      </c>
      <c r="I42" s="7">
        <v>0</v>
      </c>
      <c r="J42" s="7">
        <f>$J$4</f>
        <v>20</v>
      </c>
    </row>
    <row r="43" spans="5:10" x14ac:dyDescent="0.3">
      <c r="E43">
        <v>-2</v>
      </c>
      <c r="F43">
        <f>E43+$F$42</f>
        <v>0</v>
      </c>
      <c r="G43">
        <f>F43*$G$42</f>
        <v>0</v>
      </c>
      <c r="H43">
        <f t="shared" ref="H43:H65" si="5">EXP(G43*$H$9)</f>
        <v>1</v>
      </c>
      <c r="I43">
        <f>H43+$I$42</f>
        <v>1</v>
      </c>
      <c r="J43">
        <f>I43*$J$42</f>
        <v>20</v>
      </c>
    </row>
    <row r="44" spans="5:10" x14ac:dyDescent="0.3">
      <c r="E44">
        <v>-1</v>
      </c>
      <c r="F44">
        <f t="shared" ref="F44:F65" si="6">E44+$F$42</f>
        <v>1</v>
      </c>
      <c r="G44">
        <f t="shared" ref="G44:G65" si="7">F44*$G$42</f>
        <v>1</v>
      </c>
      <c r="H44">
        <f t="shared" si="5"/>
        <v>0.77105158580356625</v>
      </c>
      <c r="I44">
        <f t="shared" ref="I44:I65" si="8">H44+$I$42</f>
        <v>0.77105158580356625</v>
      </c>
      <c r="J44">
        <f t="shared" ref="J44:J65" si="9">I44*$J$42</f>
        <v>15.421031716071326</v>
      </c>
    </row>
    <row r="45" spans="5:10" x14ac:dyDescent="0.3">
      <c r="E45">
        <v>0</v>
      </c>
      <c r="F45">
        <f t="shared" si="6"/>
        <v>2</v>
      </c>
      <c r="G45">
        <f t="shared" si="7"/>
        <v>2</v>
      </c>
      <c r="H45">
        <f t="shared" si="5"/>
        <v>0.59452054797019438</v>
      </c>
      <c r="I45">
        <f t="shared" si="8"/>
        <v>0.59452054797019438</v>
      </c>
      <c r="J45">
        <f t="shared" si="9"/>
        <v>11.890410959403887</v>
      </c>
    </row>
    <row r="46" spans="5:10" x14ac:dyDescent="0.3">
      <c r="E46">
        <v>1</v>
      </c>
      <c r="F46">
        <f t="shared" si="6"/>
        <v>3</v>
      </c>
      <c r="G46">
        <f t="shared" si="7"/>
        <v>3</v>
      </c>
      <c r="H46">
        <f t="shared" si="5"/>
        <v>0.45840601130522352</v>
      </c>
      <c r="I46">
        <f t="shared" si="8"/>
        <v>0.45840601130522352</v>
      </c>
      <c r="J46">
        <f t="shared" si="9"/>
        <v>9.1681202261044703</v>
      </c>
    </row>
    <row r="47" spans="5:10" x14ac:dyDescent="0.3">
      <c r="E47">
        <v>2</v>
      </c>
      <c r="F47">
        <f t="shared" si="6"/>
        <v>4</v>
      </c>
      <c r="G47">
        <f t="shared" si="7"/>
        <v>4</v>
      </c>
      <c r="H47">
        <f t="shared" si="5"/>
        <v>0.35345468195878016</v>
      </c>
      <c r="I47">
        <f t="shared" si="8"/>
        <v>0.35345468195878016</v>
      </c>
      <c r="J47">
        <f t="shared" si="9"/>
        <v>7.0690936391756036</v>
      </c>
    </row>
    <row r="48" spans="5:10" x14ac:dyDescent="0.3">
      <c r="E48">
        <v>3</v>
      </c>
      <c r="F48">
        <f t="shared" si="6"/>
        <v>5</v>
      </c>
      <c r="G48">
        <f t="shared" si="7"/>
        <v>5</v>
      </c>
      <c r="H48">
        <f t="shared" si="5"/>
        <v>0.27253179303401259</v>
      </c>
      <c r="I48">
        <f t="shared" si="8"/>
        <v>0.27253179303401259</v>
      </c>
      <c r="J48">
        <f t="shared" si="9"/>
        <v>5.4506358606802516</v>
      </c>
    </row>
    <row r="49" spans="5:10" x14ac:dyDescent="0.3">
      <c r="E49">
        <v>4</v>
      </c>
      <c r="F49">
        <f t="shared" si="6"/>
        <v>6</v>
      </c>
      <c r="G49">
        <f t="shared" si="7"/>
        <v>6</v>
      </c>
      <c r="H49">
        <f t="shared" si="5"/>
        <v>0.21013607120076472</v>
      </c>
      <c r="I49">
        <f t="shared" si="8"/>
        <v>0.21013607120076472</v>
      </c>
      <c r="J49">
        <f t="shared" si="9"/>
        <v>4.2027214240152944</v>
      </c>
    </row>
    <row r="50" spans="5:10" x14ac:dyDescent="0.3">
      <c r="E50">
        <v>5</v>
      </c>
      <c r="F50">
        <f t="shared" si="6"/>
        <v>7</v>
      </c>
      <c r="G50">
        <f t="shared" si="7"/>
        <v>7</v>
      </c>
      <c r="H50">
        <f t="shared" si="5"/>
        <v>0.16202575093388075</v>
      </c>
      <c r="I50">
        <f t="shared" si="8"/>
        <v>0.16202575093388075</v>
      </c>
      <c r="J50">
        <f t="shared" si="9"/>
        <v>3.2405150186776148</v>
      </c>
    </row>
    <row r="51" spans="5:10" x14ac:dyDescent="0.3">
      <c r="E51">
        <v>6</v>
      </c>
      <c r="F51">
        <f t="shared" si="6"/>
        <v>8</v>
      </c>
      <c r="G51">
        <f t="shared" si="7"/>
        <v>8</v>
      </c>
      <c r="H51">
        <f t="shared" si="5"/>
        <v>0.12493021219858241</v>
      </c>
      <c r="I51">
        <f t="shared" si="8"/>
        <v>0.12493021219858241</v>
      </c>
      <c r="J51">
        <f t="shared" si="9"/>
        <v>2.4986042439716485</v>
      </c>
    </row>
    <row r="52" spans="5:10" x14ac:dyDescent="0.3">
      <c r="E52">
        <v>7</v>
      </c>
      <c r="F52">
        <f t="shared" si="6"/>
        <v>9</v>
      </c>
      <c r="G52">
        <f t="shared" si="7"/>
        <v>9</v>
      </c>
      <c r="H52">
        <f t="shared" si="5"/>
        <v>9.6327638230493035E-2</v>
      </c>
      <c r="I52">
        <f t="shared" si="8"/>
        <v>9.6327638230493035E-2</v>
      </c>
      <c r="J52">
        <f t="shared" si="9"/>
        <v>1.9265527646098608</v>
      </c>
    </row>
    <row r="53" spans="5:10" x14ac:dyDescent="0.3">
      <c r="E53">
        <v>8</v>
      </c>
      <c r="F53">
        <f t="shared" si="6"/>
        <v>10</v>
      </c>
      <c r="G53">
        <f t="shared" si="7"/>
        <v>10</v>
      </c>
      <c r="H53">
        <f t="shared" si="5"/>
        <v>7.4273578214333877E-2</v>
      </c>
      <c r="I53">
        <f t="shared" si="8"/>
        <v>7.4273578214333877E-2</v>
      </c>
      <c r="J53">
        <f t="shared" si="9"/>
        <v>1.4854715642866776</v>
      </c>
    </row>
    <row r="54" spans="5:10" x14ac:dyDescent="0.3">
      <c r="E54">
        <v>9</v>
      </c>
      <c r="F54">
        <f t="shared" si="6"/>
        <v>11</v>
      </c>
      <c r="G54">
        <f t="shared" si="7"/>
        <v>11</v>
      </c>
      <c r="H54">
        <f t="shared" si="5"/>
        <v>5.7268760265467331E-2</v>
      </c>
      <c r="I54">
        <f t="shared" si="8"/>
        <v>5.7268760265467331E-2</v>
      </c>
      <c r="J54">
        <f t="shared" si="9"/>
        <v>1.1453752053093467</v>
      </c>
    </row>
    <row r="55" spans="5:10" x14ac:dyDescent="0.3">
      <c r="E55">
        <v>10</v>
      </c>
      <c r="F55">
        <f t="shared" si="6"/>
        <v>12</v>
      </c>
      <c r="G55">
        <f t="shared" si="7"/>
        <v>12</v>
      </c>
      <c r="H55">
        <f t="shared" si="5"/>
        <v>4.415716841969286E-2</v>
      </c>
      <c r="I55">
        <f t="shared" si="8"/>
        <v>4.415716841969286E-2</v>
      </c>
      <c r="J55">
        <f t="shared" si="9"/>
        <v>0.88314336839385721</v>
      </c>
    </row>
    <row r="56" spans="5:10" x14ac:dyDescent="0.3">
      <c r="E56">
        <v>11</v>
      </c>
      <c r="F56">
        <f t="shared" si="6"/>
        <v>13</v>
      </c>
      <c r="G56">
        <f t="shared" si="7"/>
        <v>13</v>
      </c>
      <c r="H56">
        <f t="shared" si="5"/>
        <v>3.4047454734599344E-2</v>
      </c>
      <c r="I56">
        <f t="shared" si="8"/>
        <v>3.4047454734599344E-2</v>
      </c>
      <c r="J56">
        <f t="shared" si="9"/>
        <v>0.68094909469198694</v>
      </c>
    </row>
    <row r="57" spans="5:10" x14ac:dyDescent="0.3">
      <c r="E57">
        <v>12</v>
      </c>
      <c r="F57">
        <f t="shared" si="6"/>
        <v>14</v>
      </c>
      <c r="G57">
        <f t="shared" si="7"/>
        <v>14</v>
      </c>
      <c r="H57">
        <f t="shared" si="5"/>
        <v>2.6252343965687961E-2</v>
      </c>
      <c r="I57">
        <f t="shared" si="8"/>
        <v>2.6252343965687961E-2</v>
      </c>
      <c r="J57">
        <f t="shared" si="9"/>
        <v>0.52504687931375926</v>
      </c>
    </row>
    <row r="58" spans="5:10" x14ac:dyDescent="0.3">
      <c r="E58">
        <v>13</v>
      </c>
      <c r="F58">
        <f t="shared" si="6"/>
        <v>15</v>
      </c>
      <c r="G58">
        <f t="shared" si="7"/>
        <v>15</v>
      </c>
      <c r="H58">
        <f t="shared" si="5"/>
        <v>2.0241911445804381E-2</v>
      </c>
      <c r="I58">
        <f t="shared" si="8"/>
        <v>2.0241911445804381E-2</v>
      </c>
      <c r="J58">
        <f t="shared" si="9"/>
        <v>0.40483822891608762</v>
      </c>
    </row>
    <row r="59" spans="5:10" x14ac:dyDescent="0.3">
      <c r="E59">
        <v>14</v>
      </c>
      <c r="F59">
        <f t="shared" si="6"/>
        <v>16</v>
      </c>
      <c r="G59">
        <f t="shared" si="7"/>
        <v>16</v>
      </c>
      <c r="H59">
        <f t="shared" si="5"/>
        <v>1.5607557919982831E-2</v>
      </c>
      <c r="I59">
        <f t="shared" si="8"/>
        <v>1.5607557919982831E-2</v>
      </c>
      <c r="J59">
        <f t="shared" si="9"/>
        <v>0.31215115839965663</v>
      </c>
    </row>
    <row r="60" spans="5:10" x14ac:dyDescent="0.3">
      <c r="E60">
        <v>15</v>
      </c>
      <c r="F60">
        <f t="shared" si="6"/>
        <v>17</v>
      </c>
      <c r="G60">
        <f t="shared" si="7"/>
        <v>17</v>
      </c>
      <c r="H60">
        <f t="shared" si="5"/>
        <v>1.2034232284723775E-2</v>
      </c>
      <c r="I60">
        <f t="shared" si="8"/>
        <v>1.2034232284723775E-2</v>
      </c>
      <c r="J60">
        <f t="shared" si="9"/>
        <v>0.24068464569447551</v>
      </c>
    </row>
    <row r="61" spans="5:10" x14ac:dyDescent="0.3">
      <c r="E61">
        <v>16</v>
      </c>
      <c r="F61">
        <f t="shared" si="6"/>
        <v>18</v>
      </c>
      <c r="G61">
        <f t="shared" si="7"/>
        <v>18</v>
      </c>
      <c r="H61">
        <f t="shared" si="5"/>
        <v>9.2790138870647437E-3</v>
      </c>
      <c r="I61">
        <f t="shared" si="8"/>
        <v>9.2790138870647437E-3</v>
      </c>
      <c r="J61">
        <f t="shared" si="9"/>
        <v>0.18558027774129487</v>
      </c>
    </row>
    <row r="62" spans="5:10" x14ac:dyDescent="0.3">
      <c r="E62">
        <v>17</v>
      </c>
      <c r="F62">
        <f t="shared" si="6"/>
        <v>19</v>
      </c>
      <c r="G62">
        <f t="shared" si="7"/>
        <v>19</v>
      </c>
      <c r="H62">
        <f t="shared" si="5"/>
        <v>7.1545983723145792E-3</v>
      </c>
      <c r="I62">
        <f t="shared" si="8"/>
        <v>7.1545983723145792E-3</v>
      </c>
      <c r="J62">
        <f t="shared" si="9"/>
        <v>0.14309196744629157</v>
      </c>
    </row>
    <row r="63" spans="5:10" x14ac:dyDescent="0.3">
      <c r="E63">
        <v>18</v>
      </c>
      <c r="F63">
        <f t="shared" si="6"/>
        <v>20</v>
      </c>
      <c r="G63">
        <f t="shared" si="7"/>
        <v>20</v>
      </c>
      <c r="H63">
        <f t="shared" si="5"/>
        <v>5.5165644207607716E-3</v>
      </c>
      <c r="I63">
        <f t="shared" si="8"/>
        <v>5.5165644207607716E-3</v>
      </c>
      <c r="J63">
        <f t="shared" si="9"/>
        <v>0.11033128841521543</v>
      </c>
    </row>
    <row r="64" spans="5:10" x14ac:dyDescent="0.3">
      <c r="E64">
        <v>19</v>
      </c>
      <c r="F64">
        <f t="shared" si="6"/>
        <v>21</v>
      </c>
      <c r="G64">
        <f t="shared" si="7"/>
        <v>21</v>
      </c>
      <c r="H64">
        <f t="shared" si="5"/>
        <v>4.2535557448151254E-3</v>
      </c>
      <c r="I64">
        <f t="shared" si="8"/>
        <v>4.2535557448151254E-3</v>
      </c>
      <c r="J64">
        <f t="shared" si="9"/>
        <v>8.5071114896302508E-2</v>
      </c>
    </row>
    <row r="65" spans="5:10" x14ac:dyDescent="0.3">
      <c r="E65">
        <v>20</v>
      </c>
      <c r="F65">
        <f t="shared" si="6"/>
        <v>22</v>
      </c>
      <c r="G65">
        <f t="shared" si="7"/>
        <v>22</v>
      </c>
      <c r="H65">
        <f t="shared" si="5"/>
        <v>3.27971090234357E-3</v>
      </c>
      <c r="I65">
        <f t="shared" si="8"/>
        <v>3.27971090234357E-3</v>
      </c>
      <c r="J65">
        <f t="shared" si="9"/>
        <v>6.5594218046871405E-2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const_perim</vt:lpstr>
      <vt:lpstr>const_areas</vt:lpstr>
      <vt:lpstr>colors</vt:lpstr>
      <vt:lpstr>plot_graphs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Gillis</dc:creator>
  <cp:lastModifiedBy>Will Gillis</cp:lastModifiedBy>
  <dcterms:created xsi:type="dcterms:W3CDTF">2025-12-24T20:33:04Z</dcterms:created>
  <dcterms:modified xsi:type="dcterms:W3CDTF">2026-01-16T18:48:45Z</dcterms:modified>
</cp:coreProperties>
</file>